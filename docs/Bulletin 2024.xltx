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38010-81-11\Desktop\"/>
    </mc:Choice>
  </mc:AlternateContent>
  <xr:revisionPtr revIDLastSave="0" documentId="13_ncr:1_{B0B53C2E-6B04-4D27-99EF-49C13A50B1DE}" xr6:coauthVersionLast="47" xr6:coauthVersionMax="47" xr10:uidLastSave="{00000000-0000-0000-0000-000000000000}"/>
  <bookViews>
    <workbookView xWindow="25080" yWindow="270" windowWidth="19440" windowHeight="15000" xr2:uid="{619127E5-2E3A-4EF2-8871-84936358C4F4}"/>
  </bookViews>
  <sheets>
    <sheet name="Bulletin" sheetId="2" r:id="rId1"/>
    <sheet name="RGC" sheetId="3" r:id="rId2"/>
    <sheet name="Régul_AF" sheetId="4" r:id="rId3"/>
    <sheet name="Régul_maladie1" sheetId="5" r:id="rId4"/>
    <sheet name="Régul_Plafond_+_CET" sheetId="6" r:id="rId5"/>
    <sheet name="Bulletin gérant" sheetId="7" r:id="rId6"/>
    <sheet name="bulletin apprentis" sheetId="8" r:id="rId7"/>
    <sheet name="stagiaire" sheetId="9" r:id="rId8"/>
  </sheets>
  <externalReferences>
    <externalReference r:id="rId9"/>
    <externalReference r:id="rId10"/>
    <externalReference r:id="rId11"/>
    <externalReference r:id="rId12"/>
  </externalReferences>
  <definedNames>
    <definedName name="A.C._trA_pat">[1]COTISATIONS!$B$28</definedName>
    <definedName name="A.C._tra_sal">[1]COTISATIONS!$C$28</definedName>
    <definedName name="A.C._trb_pat">[1]COTISATIONS!$B$30</definedName>
    <definedName name="A.C._trb_sal">[1]COTISATIONS!$C$30</definedName>
    <definedName name="A.S.F._trA_pat">[1]COTISATIONS!$B$27</definedName>
    <definedName name="A.S.F._trA_sal">[1]COTISATIONS!$C$27</definedName>
    <definedName name="A.S.F._trB_pat">[1]COTISATIONS!$B$29</definedName>
    <definedName name="A.S.F._trb_sal">[1]COTISATIONS!$C$29</definedName>
    <definedName name="Aide_au_logement">[1]COTISATIONS!$B$14</definedName>
    <definedName name="Aide_au_logement___9_salariés">[1]COTISATIONS!$B$19</definedName>
    <definedName name="Allocations_familiales_100">[1]COTISATIONS!$B$13</definedName>
    <definedName name="an_repas_inf_plafond">[1]COTISATIONS!$B$71</definedName>
    <definedName name="APEC_pat">[1]COTISATIONS!$B$39</definedName>
    <definedName name="APEC_sal">[1]COTISATIONS!$C$39</definedName>
    <definedName name="Assurance_maladie_pat">[1]COTISATIONS!$B$9</definedName>
    <definedName name="Assurance_maladie_sal">[1]COTISATIONS!$C$9</definedName>
    <definedName name="Assurance_veuvage">[1]COTISATIONS!$C$12</definedName>
    <definedName name="Assurance_vieillesse_pat">[1]COTISATIONS!$B$10</definedName>
    <definedName name="Assurance_vieillesse_pat_tt">[1]COTISATIONS!$B$11</definedName>
    <definedName name="Assurance_vieillesse_sal">[1]COTISATIONS!$C$10</definedName>
    <definedName name="Assurance_vieillesse_sal_tt">[1]COTISATIONS!$C$11</definedName>
    <definedName name="Brutap">[2]Aprentis!$H$33</definedName>
    <definedName name="Bruts_cumulés" localSheetId="2">!#REF!</definedName>
    <definedName name="Bruts_cumulés" localSheetId="3">!#REF!</definedName>
    <definedName name="Bruts_cumulés" localSheetId="1">!#REF!</definedName>
    <definedName name="Bruts_cumulés">#REF!</definedName>
    <definedName name="Cadres_tranche_A_pat">[1]COTISATIONS!$B$36</definedName>
    <definedName name="Cadres_tranche_A_sal">[1]COTISATIONS!$C$36</definedName>
    <definedName name="Cadres_tranche_B_pat">[1]COTISATIONS!$B$37</definedName>
    <definedName name="Cadres_tranche_B_sal">[1]COTISATIONS!$C$37</definedName>
    <definedName name="Cadres_tranche_C_pat">[1]COTISATIONS!$B$38</definedName>
    <definedName name="Cadres_tranche_C_sal">[1]COTISATIONS!$C$38</definedName>
    <definedName name="CET_pat">[1]COTISATIONS!$B$42</definedName>
    <definedName name="CET_sal">[1]COTISATIONS!$C$42</definedName>
    <definedName name="CODE" localSheetId="2">!#REF!</definedName>
    <definedName name="CODE" localSheetId="3">!#REF!</definedName>
    <definedName name="CODE" localSheetId="1">!#REF!</definedName>
    <definedName name="CODE">#REF!</definedName>
    <definedName name="conso" localSheetId="2">";;;;;"</definedName>
    <definedName name="conso" localSheetId="3">";;;;;"</definedName>
    <definedName name="conso">'[2]fiche de paie'!$D$47:$D$102,'[2]fiche de paie'!$F$47,'[2]fiche de paie'!$F$47:$F$104,'[2]fiche de paie'!$H$47:$H$125,'[2]fiche de paie'!$D$106,'[2]fiche de paie'!$D$108</definedName>
    <definedName name="Contribution_Sociale_Généralisée__déductible">[1]COTISATIONS!$C$17</definedName>
    <definedName name="Contribution_Sociale_Généralisée__non_déductible">[1]COTISATIONS!$C$16</definedName>
    <definedName name="cot_pat_AGFF_cadre_TA">[3]basetaux!$C$52</definedName>
    <definedName name="cot_pat_AGFF_cadre_TB">[3]basetaux!$C$53</definedName>
    <definedName name="cot_pat_AGFF_nc_T2">[3]basetaux!$C$48</definedName>
    <definedName name="cot_pat_AGFF_nc_TA">[3]basetaux!$C$47</definedName>
    <definedName name="cot_pat_alloc_fam">[3]basetaux!$C$28</definedName>
    <definedName name="cot_pat_apec">[3]basetaux!$C$57</definedName>
    <definedName name="cot_pat_ass_mal">[3]basetaux!$C$24</definedName>
    <definedName name="cot_pat_assedic_TA">[3]basetaux!$C$40</definedName>
    <definedName name="cot_pat_contrib_solidar_autonomie">[3]basetaux!$C$25</definedName>
    <definedName name="cot_pat_cot_except_temporaire">[3]basetaux!$C$56</definedName>
    <definedName name="cot_pat_fnal_supTA_sup_egal_20">[3]basetaux!$C$32</definedName>
    <definedName name="cot_pat_fnal_toutes_entses">[3]basetaux!$C$30</definedName>
    <definedName name="cot_pat_FNGS">[3]basetaux!$C$42</definedName>
    <definedName name="cot_pat_forfait_social">[3]basetaux!$C$38</definedName>
    <definedName name="cot_pat_prévoyance">[3]basetaux!$C$59</definedName>
    <definedName name="cot_pat_ret_cadre_TA">[3]basetaux!$C$50</definedName>
    <definedName name="cot_pat_ret_cadre_TB">[3]basetaux!$C$51</definedName>
    <definedName name="cot_pat_ret_cadre_TC">[3]basetaux!$C$55</definedName>
    <definedName name="cot_pat_retraite_GMP">[3]basetaux!$C$54</definedName>
    <definedName name="cot_pat_retraite_nc_T2">[3]basetaux!$C$46</definedName>
    <definedName name="cot_pat_retraite_nc_TA">[3]basetaux!$C$45</definedName>
    <definedName name="cot_pat_vieillesse_T">[3]basetaux!$C$33</definedName>
    <definedName name="cot_pat_vieillesse_TA">[3]basetaux!$C$34</definedName>
    <definedName name="FNGS">[1]COTISATIONS!$B$31</definedName>
    <definedName name="Forfait_APEC_pat">[1]COTISATIONS!$B$40</definedName>
    <definedName name="Forfait_APEC_sal">[1]COTISATIONS!$C$40</definedName>
    <definedName name="hrem">'[2]fiche de paie'!$D$41</definedName>
    <definedName name="plafond">[3]basetaux!$J$22</definedName>
    <definedName name="Plafond_de_sécurité_Sociale">[1]COTISATIONS!$B$49</definedName>
    <definedName name="plafond_gmp">[3]basetaux!$J$35</definedName>
    <definedName name="plafond2" localSheetId="2">!#REF!</definedName>
    <definedName name="plafond2" localSheetId="3">!#REF!</definedName>
    <definedName name="plafond2" localSheetId="1">!#REF!</definedName>
    <definedName name="plafond2">#REF!</definedName>
    <definedName name="plafond3" localSheetId="2">!#REF!</definedName>
    <definedName name="plafond3" localSheetId="3">!#REF!</definedName>
    <definedName name="plafond3" localSheetId="1">!#REF!</definedName>
    <definedName name="plafond3">#REF!</definedName>
    <definedName name="Plafonds_cumulés" localSheetId="2">!#REF!</definedName>
    <definedName name="Plafonds_cumulés" localSheetId="3">!#REF!</definedName>
    <definedName name="Plafonds_cumulés" localSheetId="1">!#REF!</definedName>
    <definedName name="Plafonds_cumulés">#REF!</definedName>
    <definedName name="Prévoyance_Cadres_TA_">[1]COTISATIONS!$B$41</definedName>
    <definedName name="RDS__Remboursement_de_la_dette_sociale">[1]COTISATIONS!$C$18</definedName>
    <definedName name="Retraite_Employés_tranche_1_pat">[1]COTISATIONS!$B$43</definedName>
    <definedName name="Retraite_Employés_tranche_1_sal">[1]COTISATIONS!$C$43</definedName>
    <definedName name="Retraite_Employés_tranche_2_pat">[1]COTISATIONS!$B$44</definedName>
    <definedName name="Retraite_Employés_tranche_2_sal">[1]COTISATIONS!$C$44</definedName>
    <definedName name="RS_AGFF_cadre_TA">[3]basetaux!$E$52</definedName>
    <definedName name="RS_AGFF_cadre_TB">[3]basetaux!$E$53</definedName>
    <definedName name="RS_AGFF_nc_T2">[3]basetaux!$E$48</definedName>
    <definedName name="RS_AGFF_nc_TA">[3]basetaux!$E$47</definedName>
    <definedName name="RS_apec">[3]basetaux!$E$57</definedName>
    <definedName name="RS_ass_mal">[3]basetaux!$E$24</definedName>
    <definedName name="RS_assedic_TA">[3]basetaux!$E$40</definedName>
    <definedName name="RS_cot_except_temporaire">[3]basetaux!$E$56</definedName>
    <definedName name="RS_CRDS">[3]basetaux!$E$63</definedName>
    <definedName name="RS_CSGdéductible">[3]basetaux!$E$35</definedName>
    <definedName name="RS_ret_cadre_TA">[3]basetaux!$E$50</definedName>
    <definedName name="RS_ret_cadre_TB">[3]basetaux!$E$51</definedName>
    <definedName name="RS_ret_cadre_TC">[3]basetaux!$E$55</definedName>
    <definedName name="RS_retraite_GMP">[3]basetaux!$E$54</definedName>
    <definedName name="RS_retraite_nc_T2">[3]basetaux!$E$46</definedName>
    <definedName name="RS_retraite_nc_TA">[3]basetaux!$E$45</definedName>
    <definedName name="RS_vieillesse_T">[3]basetaux!$E$33</definedName>
    <definedName name="RS_vieillesse_TA">[3]basetaux!$E$34</definedName>
    <definedName name="SMIC">[2]Divers!$B$15</definedName>
    <definedName name="smic_horaire">[3]basetaux!$J$33</definedName>
    <definedName name="smic_mensuel">[3]basetaux!$J$34</definedName>
    <definedName name="Taxe_de_prévoyance">[1]COTISATIONS!$B$20</definedName>
    <definedName name="Tranche_1">'[4]Non cadre '!$K$36</definedName>
    <definedName name="Tranche_2">'[4]Non cadre '!$K$37</definedName>
    <definedName name="Tranche_A">'[4]Non cadre '!$K$34</definedName>
    <definedName name="_xlnm.Print_Area" localSheetId="2">Régul_AF!$B$1:$R$25</definedName>
    <definedName name="_xlnm.Print_Area" localSheetId="3">Régul_maladie1!$B$1:$R$24</definedName>
    <definedName name="_xlnm.Print_Area" localSheetId="7">stagiaire!$A$1:$F$84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6" i="9" l="1"/>
  <c r="D65" i="9"/>
  <c r="D64" i="9"/>
  <c r="D63" i="9"/>
  <c r="D62" i="9"/>
  <c r="D61" i="9"/>
  <c r="D60" i="9"/>
  <c r="D59" i="9"/>
  <c r="D58" i="9"/>
  <c r="B44" i="9"/>
  <c r="F44" i="9" s="1"/>
  <c r="E42" i="9"/>
  <c r="E40" i="9"/>
  <c r="B39" i="9"/>
  <c r="F39" i="9" s="1"/>
  <c r="F35" i="9"/>
  <c r="F22" i="9"/>
  <c r="F21" i="9"/>
  <c r="F19" i="9"/>
  <c r="F18" i="9"/>
  <c r="F17" i="9"/>
  <c r="J16" i="9"/>
  <c r="F16" i="9"/>
  <c r="F23" i="9" s="1"/>
  <c r="B27" i="9" l="1"/>
  <c r="B49" i="9" l="1"/>
  <c r="B45" i="9"/>
  <c r="F45" i="9" s="1"/>
  <c r="B43" i="9"/>
  <c r="F43" i="9" s="1"/>
  <c r="B42" i="9"/>
  <c r="F42" i="9" s="1"/>
  <c r="B41" i="9"/>
  <c r="F41" i="9" s="1"/>
  <c r="B40" i="9"/>
  <c r="F40" i="9" s="1"/>
  <c r="B36" i="9"/>
  <c r="F36" i="9" s="1"/>
  <c r="B33" i="9"/>
  <c r="B32" i="9"/>
  <c r="B29" i="9"/>
  <c r="F29" i="9" s="1"/>
  <c r="F27" i="9"/>
  <c r="F32" i="9" l="1"/>
  <c r="D32" i="9"/>
  <c r="F33" i="9"/>
  <c r="D33" i="9"/>
  <c r="B50" i="9"/>
  <c r="D50" i="9" s="1"/>
  <c r="D49" i="9"/>
  <c r="D52" i="9" l="1"/>
  <c r="F52" i="9"/>
  <c r="F77" i="9" s="1"/>
  <c r="D71" i="9" l="1"/>
  <c r="B73" i="9" s="1"/>
  <c r="D73" i="9" s="1"/>
  <c r="D68" i="9"/>
  <c r="D75" i="9" s="1"/>
  <c r="D55" i="9"/>
  <c r="B95" i="8" l="1"/>
  <c r="D95" i="8" s="1"/>
  <c r="F88" i="8"/>
  <c r="D88" i="8"/>
  <c r="F87" i="8"/>
  <c r="D87" i="8"/>
  <c r="F86" i="8"/>
  <c r="D86" i="8"/>
  <c r="F85" i="8"/>
  <c r="D85" i="8"/>
  <c r="E81" i="8"/>
  <c r="B81" i="8"/>
  <c r="F81" i="8" s="1"/>
  <c r="D75" i="8"/>
  <c r="D74" i="8"/>
  <c r="B73" i="8"/>
  <c r="D73" i="8" s="1"/>
  <c r="D72" i="8"/>
  <c r="F68" i="8"/>
  <c r="B67" i="8"/>
  <c r="F67" i="8" s="1"/>
  <c r="B65" i="8"/>
  <c r="F65" i="8" s="1"/>
  <c r="B62" i="8"/>
  <c r="F62" i="8" s="1"/>
  <c r="E61" i="8"/>
  <c r="B61" i="8"/>
  <c r="B60" i="8"/>
  <c r="F60" i="8" s="1"/>
  <c r="B59" i="8"/>
  <c r="F59" i="8" s="1"/>
  <c r="B58" i="8"/>
  <c r="F58" i="8" s="1"/>
  <c r="E55" i="8"/>
  <c r="C55" i="8"/>
  <c r="B55" i="8"/>
  <c r="H52" i="8"/>
  <c r="F50" i="8"/>
  <c r="E37" i="8"/>
  <c r="F36" i="8"/>
  <c r="D36" i="8"/>
  <c r="F35" i="8"/>
  <c r="N30" i="8"/>
  <c r="M27" i="8"/>
  <c r="O25" i="8"/>
  <c r="D17" i="8"/>
  <c r="F8" i="8"/>
  <c r="F7" i="8"/>
  <c r="F2" i="8"/>
  <c r="B11" i="8" l="1"/>
  <c r="F5" i="8"/>
  <c r="F4" i="8"/>
  <c r="F3" i="8"/>
  <c r="C23" i="8"/>
  <c r="C22" i="8"/>
  <c r="D22" i="8" s="1"/>
  <c r="C21" i="8"/>
  <c r="O30" i="8"/>
  <c r="M30" i="8"/>
  <c r="F55" i="8"/>
  <c r="D55" i="8"/>
  <c r="B63" i="8"/>
  <c r="F63" i="8" s="1"/>
  <c r="F61" i="8"/>
  <c r="B107" i="8" l="1"/>
  <c r="B80" i="8"/>
  <c r="B10" i="8"/>
  <c r="D29" i="8"/>
  <c r="B66" i="8" l="1"/>
  <c r="F66" i="8" s="1"/>
  <c r="B49" i="8"/>
  <c r="F49" i="8" s="1"/>
  <c r="B48" i="8"/>
  <c r="F48" i="8" s="1"/>
  <c r="B39" i="8"/>
  <c r="F39" i="8" s="1"/>
  <c r="B12" i="8"/>
  <c r="B2" i="8"/>
  <c r="D107" i="8"/>
  <c r="D80" i="8"/>
  <c r="B43" i="8" l="1"/>
  <c r="F43" i="8" s="1"/>
  <c r="B34" i="8"/>
  <c r="F34" i="8" s="1"/>
  <c r="B33" i="8"/>
  <c r="F33" i="8" s="1"/>
  <c r="B9" i="8"/>
  <c r="B8" i="8"/>
  <c r="B64" i="8" s="1"/>
  <c r="F64" i="8" s="1"/>
  <c r="B7" i="8"/>
  <c r="B5" i="8"/>
  <c r="B6" i="8" s="1"/>
  <c r="B3" i="8"/>
  <c r="D45" i="8"/>
  <c r="D44" i="8"/>
  <c r="D43" i="8"/>
  <c r="D42" i="8"/>
  <c r="D77" i="8" s="1"/>
  <c r="D106" i="8" l="1"/>
  <c r="B109" i="8" s="1"/>
  <c r="D109" i="8" s="1"/>
  <c r="D103" i="8"/>
  <c r="D111" i="8" s="1"/>
  <c r="D90" i="8"/>
  <c r="B45" i="8"/>
  <c r="F45" i="8" s="1"/>
  <c r="B44" i="8"/>
  <c r="F44" i="8" s="1"/>
  <c r="G44" i="8" s="1"/>
  <c r="B42" i="8"/>
  <c r="F42" i="8" s="1"/>
  <c r="B37" i="8"/>
  <c r="F37" i="8" s="1"/>
  <c r="B4" i="8"/>
  <c r="B54" i="8" l="1"/>
  <c r="F54" i="8" s="1"/>
  <c r="B53" i="8"/>
  <c r="F53" i="8" s="1"/>
  <c r="G56" i="8" l="1"/>
  <c r="F77" i="8"/>
  <c r="F113" i="8" s="1"/>
  <c r="B94" i="2" l="1"/>
  <c r="B95" i="2"/>
  <c r="B96" i="2"/>
  <c r="B93" i="2"/>
  <c r="F96" i="2"/>
  <c r="D96" i="2"/>
  <c r="B6" i="6" l="1"/>
  <c r="B7" i="6"/>
  <c r="B8" i="6"/>
  <c r="B9" i="6"/>
  <c r="B10" i="6"/>
  <c r="B11" i="6"/>
  <c r="B12" i="6"/>
  <c r="B13" i="6"/>
  <c r="B14" i="6"/>
  <c r="B15" i="6"/>
  <c r="B16" i="6"/>
  <c r="B5" i="6"/>
  <c r="E7" i="5"/>
  <c r="E8" i="5"/>
  <c r="E9" i="5"/>
  <c r="E10" i="5"/>
  <c r="E11" i="5"/>
  <c r="E12" i="5"/>
  <c r="E13" i="5"/>
  <c r="E14" i="5"/>
  <c r="E15" i="5"/>
  <c r="E16" i="5"/>
  <c r="E17" i="5"/>
  <c r="E6" i="5"/>
  <c r="C7" i="5"/>
  <c r="C8" i="5"/>
  <c r="C9" i="5"/>
  <c r="C10" i="5"/>
  <c r="C11" i="5"/>
  <c r="C12" i="5"/>
  <c r="C13" i="5"/>
  <c r="C14" i="5"/>
  <c r="C15" i="5"/>
  <c r="C16" i="5"/>
  <c r="C17" i="5"/>
  <c r="C6" i="5"/>
  <c r="E8" i="4"/>
  <c r="E9" i="4"/>
  <c r="E10" i="4"/>
  <c r="E11" i="4"/>
  <c r="E12" i="4"/>
  <c r="E13" i="4"/>
  <c r="E14" i="4"/>
  <c r="E15" i="4"/>
  <c r="E16" i="4"/>
  <c r="E17" i="4"/>
  <c r="E18" i="4"/>
  <c r="E7" i="4"/>
  <c r="C8" i="4"/>
  <c r="C9" i="4"/>
  <c r="C10" i="4"/>
  <c r="C11" i="4"/>
  <c r="C12" i="4"/>
  <c r="C13" i="4"/>
  <c r="C14" i="4"/>
  <c r="C15" i="4"/>
  <c r="C16" i="4"/>
  <c r="C17" i="4"/>
  <c r="C18" i="4"/>
  <c r="C7" i="4"/>
  <c r="D105" i="2"/>
  <c r="C88" i="2"/>
  <c r="B89" i="2"/>
  <c r="D84" i="7"/>
  <c r="D83" i="7"/>
  <c r="D82" i="7"/>
  <c r="D81" i="7"/>
  <c r="D80" i="7"/>
  <c r="D79" i="7"/>
  <c r="D78" i="7"/>
  <c r="D77" i="7"/>
  <c r="D76" i="7"/>
  <c r="F71" i="7"/>
  <c r="D71" i="7"/>
  <c r="F70" i="7"/>
  <c r="D70" i="7"/>
  <c r="F57" i="7"/>
  <c r="B56" i="7"/>
  <c r="F56" i="7" s="1"/>
  <c r="B54" i="7"/>
  <c r="F54" i="7" s="1"/>
  <c r="F52" i="7"/>
  <c r="E51" i="7"/>
  <c r="E49" i="7"/>
  <c r="B48" i="7"/>
  <c r="F48" i="7" s="1"/>
  <c r="F41" i="7"/>
  <c r="F29" i="7"/>
  <c r="D29" i="7"/>
  <c r="B24" i="7"/>
  <c r="F23" i="7"/>
  <c r="F22" i="7"/>
  <c r="F21" i="7"/>
  <c r="F20" i="7"/>
  <c r="F19" i="7"/>
  <c r="F18" i="7"/>
  <c r="F17" i="7"/>
  <c r="F24" i="7" s="1"/>
  <c r="I14" i="7"/>
  <c r="I13" i="7"/>
  <c r="I12" i="7"/>
  <c r="I11" i="7"/>
  <c r="I8" i="7"/>
  <c r="I7" i="7"/>
  <c r="I5" i="7"/>
  <c r="I4" i="7"/>
  <c r="I3" i="7"/>
  <c r="B53" i="7" l="1"/>
  <c r="F53" i="7" s="1"/>
  <c r="B45" i="7"/>
  <c r="B35" i="7"/>
  <c r="I15" i="7"/>
  <c r="B68" i="7"/>
  <c r="B37" i="7"/>
  <c r="B30" i="7"/>
  <c r="F30" i="7" s="1"/>
  <c r="B69" i="7"/>
  <c r="B39" i="7"/>
  <c r="B38" i="7"/>
  <c r="I16" i="7"/>
  <c r="B55" i="7"/>
  <c r="F55" i="7" s="1"/>
  <c r="B51" i="7"/>
  <c r="F51" i="7" s="1"/>
  <c r="B50" i="7"/>
  <c r="F50" i="7" s="1"/>
  <c r="B49" i="7"/>
  <c r="F49" i="7" s="1"/>
  <c r="B42" i="7"/>
  <c r="F42" i="7" s="1"/>
  <c r="B36" i="7"/>
  <c r="B32" i="7"/>
  <c r="F32" i="7" s="1"/>
  <c r="B28" i="7"/>
  <c r="F28" i="7" s="1"/>
  <c r="F36" i="7" l="1"/>
  <c r="D36" i="7"/>
  <c r="F38" i="7"/>
  <c r="D38" i="7"/>
  <c r="F39" i="7"/>
  <c r="D39" i="7"/>
  <c r="F69" i="7"/>
  <c r="D69" i="7"/>
  <c r="F37" i="7"/>
  <c r="D37" i="7"/>
  <c r="F68" i="7"/>
  <c r="B61" i="7" s="1"/>
  <c r="D68" i="7"/>
  <c r="F35" i="7"/>
  <c r="D35" i="7"/>
  <c r="F45" i="7"/>
  <c r="D45" i="7"/>
  <c r="F64" i="7" l="1"/>
  <c r="F95" i="7" s="1"/>
  <c r="B62" i="7"/>
  <c r="D62" i="7" s="1"/>
  <c r="D61" i="7"/>
  <c r="D64" i="7" s="1"/>
  <c r="D89" i="7" l="1"/>
  <c r="B91" i="7" s="1"/>
  <c r="D91" i="7" s="1"/>
  <c r="D86" i="7"/>
  <c r="D93" i="7" s="1"/>
  <c r="D73" i="7"/>
  <c r="D16" i="6" l="1"/>
  <c r="D15" i="6"/>
  <c r="D14" i="6"/>
  <c r="D13" i="6"/>
  <c r="D12" i="6"/>
  <c r="D11" i="6"/>
  <c r="D10" i="6"/>
  <c r="D9" i="6"/>
  <c r="D8" i="6"/>
  <c r="P7" i="6"/>
  <c r="D7" i="6"/>
  <c r="P6" i="6"/>
  <c r="D6" i="6"/>
  <c r="P5" i="6"/>
  <c r="D5" i="6"/>
  <c r="P4" i="6"/>
  <c r="J41" i="3"/>
  <c r="C41" i="3"/>
  <c r="J40" i="3"/>
  <c r="C40" i="3"/>
  <c r="J39" i="3"/>
  <c r="C39" i="3"/>
  <c r="J38" i="3"/>
  <c r="C38" i="3"/>
  <c r="J37" i="3"/>
  <c r="C37" i="3"/>
  <c r="J36" i="3"/>
  <c r="C36" i="3"/>
  <c r="J35" i="3"/>
  <c r="C35" i="3"/>
  <c r="J34" i="3"/>
  <c r="C34" i="3"/>
  <c r="J33" i="3"/>
  <c r="C33" i="3"/>
  <c r="J32" i="3"/>
  <c r="C32" i="3"/>
  <c r="J31" i="3"/>
  <c r="C31" i="3"/>
  <c r="J30" i="3"/>
  <c r="C30" i="3"/>
  <c r="D30" i="3" s="1"/>
  <c r="J28" i="3"/>
  <c r="C21" i="3"/>
  <c r="C42" i="3" s="1"/>
  <c r="J20" i="3"/>
  <c r="I20" i="3"/>
  <c r="G20" i="3"/>
  <c r="G41" i="3" s="1"/>
  <c r="E20" i="3"/>
  <c r="E41" i="3" s="1"/>
  <c r="J19" i="3"/>
  <c r="I19" i="3"/>
  <c r="G19" i="3"/>
  <c r="G40" i="3" s="1"/>
  <c r="E19" i="3"/>
  <c r="E40" i="3" s="1"/>
  <c r="J18" i="3"/>
  <c r="I18" i="3"/>
  <c r="G18" i="3"/>
  <c r="G39" i="3" s="1"/>
  <c r="E18" i="3"/>
  <c r="E39" i="3" s="1"/>
  <c r="J17" i="3"/>
  <c r="I17" i="3"/>
  <c r="G17" i="3"/>
  <c r="G38" i="3" s="1"/>
  <c r="E17" i="3"/>
  <c r="E38" i="3" s="1"/>
  <c r="J16" i="3"/>
  <c r="I16" i="3"/>
  <c r="G16" i="3"/>
  <c r="G37" i="3" s="1"/>
  <c r="E16" i="3"/>
  <c r="E37" i="3" s="1"/>
  <c r="J15" i="3"/>
  <c r="I15" i="3"/>
  <c r="G15" i="3"/>
  <c r="G36" i="3" s="1"/>
  <c r="E15" i="3"/>
  <c r="E36" i="3" s="1"/>
  <c r="J14" i="3"/>
  <c r="I14" i="3"/>
  <c r="G14" i="3"/>
  <c r="G35" i="3" s="1"/>
  <c r="E14" i="3"/>
  <c r="E35" i="3" s="1"/>
  <c r="J13" i="3"/>
  <c r="I13" i="3"/>
  <c r="G13" i="3"/>
  <c r="G34" i="3" s="1"/>
  <c r="E13" i="3"/>
  <c r="E34" i="3" s="1"/>
  <c r="J12" i="3"/>
  <c r="I12" i="3"/>
  <c r="G12" i="3"/>
  <c r="G33" i="3" s="1"/>
  <c r="E12" i="3"/>
  <c r="E33" i="3" s="1"/>
  <c r="J11" i="3"/>
  <c r="I11" i="3"/>
  <c r="G11" i="3"/>
  <c r="G32" i="3" s="1"/>
  <c r="E11" i="3"/>
  <c r="E32" i="3" s="1"/>
  <c r="J10" i="3"/>
  <c r="I10" i="3"/>
  <c r="G10" i="3"/>
  <c r="G31" i="3" s="1"/>
  <c r="E10" i="3"/>
  <c r="E31" i="3" s="1"/>
  <c r="J9" i="3"/>
  <c r="I9" i="3"/>
  <c r="G9" i="3"/>
  <c r="E9" i="3"/>
  <c r="D9" i="3"/>
  <c r="B104" i="2"/>
  <c r="D104" i="2" s="1"/>
  <c r="F97" i="2"/>
  <c r="D97" i="2"/>
  <c r="F94" i="2"/>
  <c r="D94" i="2"/>
  <c r="F93" i="2"/>
  <c r="D93" i="2"/>
  <c r="E89" i="2"/>
  <c r="F89" i="2"/>
  <c r="D83" i="2"/>
  <c r="F76" i="2"/>
  <c r="B73" i="2"/>
  <c r="F73" i="2" s="1"/>
  <c r="B70" i="2"/>
  <c r="F70" i="2" s="1"/>
  <c r="E69" i="2"/>
  <c r="B67" i="2"/>
  <c r="F67" i="2" s="1"/>
  <c r="E63" i="2"/>
  <c r="C63" i="2"/>
  <c r="F58" i="2"/>
  <c r="E42" i="2"/>
  <c r="F41" i="2"/>
  <c r="D41" i="2"/>
  <c r="F40" i="2"/>
  <c r="D23" i="2"/>
  <c r="C21" i="2"/>
  <c r="L17" i="2"/>
  <c r="K13" i="2"/>
  <c r="M11" i="2"/>
  <c r="O9" i="2"/>
  <c r="F8" i="2"/>
  <c r="F7" i="2"/>
  <c r="F2" i="2"/>
  <c r="B18" i="6" l="1"/>
  <c r="C5" i="6"/>
  <c r="D18" i="6"/>
  <c r="E5" i="6"/>
  <c r="C6" i="6"/>
  <c r="C7" i="6"/>
  <c r="C8" i="6"/>
  <c r="C9" i="6"/>
  <c r="C10" i="6"/>
  <c r="C11" i="6"/>
  <c r="C12" i="6"/>
  <c r="C13" i="6"/>
  <c r="C14" i="6"/>
  <c r="C15" i="6"/>
  <c r="C16" i="6"/>
  <c r="P6" i="5"/>
  <c r="M6" i="5"/>
  <c r="L6" i="5"/>
  <c r="K6" i="5"/>
  <c r="J6" i="5"/>
  <c r="D6" i="5"/>
  <c r="G6" i="5"/>
  <c r="F6" i="5"/>
  <c r="P7" i="5"/>
  <c r="M7" i="5"/>
  <c r="L7" i="5"/>
  <c r="K7" i="5"/>
  <c r="J7" i="5"/>
  <c r="D7" i="5"/>
  <c r="G7" i="5"/>
  <c r="F7" i="5"/>
  <c r="P8" i="5"/>
  <c r="M8" i="5"/>
  <c r="L8" i="5"/>
  <c r="K8" i="5"/>
  <c r="J8" i="5"/>
  <c r="D8" i="5"/>
  <c r="G8" i="5"/>
  <c r="F8" i="5"/>
  <c r="P9" i="5"/>
  <c r="M9" i="5"/>
  <c r="L9" i="5"/>
  <c r="K9" i="5"/>
  <c r="J9" i="5"/>
  <c r="D9" i="5"/>
  <c r="G9" i="5"/>
  <c r="F9" i="5"/>
  <c r="P10" i="5"/>
  <c r="M10" i="5"/>
  <c r="L10" i="5"/>
  <c r="K10" i="5"/>
  <c r="J10" i="5"/>
  <c r="D10" i="5"/>
  <c r="G10" i="5"/>
  <c r="F10" i="5"/>
  <c r="P11" i="5"/>
  <c r="M11" i="5"/>
  <c r="L11" i="5"/>
  <c r="K11" i="5"/>
  <c r="J11" i="5"/>
  <c r="D11" i="5"/>
  <c r="G11" i="5"/>
  <c r="F11" i="5"/>
  <c r="P12" i="5"/>
  <c r="M12" i="5"/>
  <c r="L12" i="5"/>
  <c r="K12" i="5"/>
  <c r="J12" i="5"/>
  <c r="D12" i="5"/>
  <c r="G12" i="5"/>
  <c r="F12" i="5"/>
  <c r="P13" i="5"/>
  <c r="M13" i="5"/>
  <c r="L13" i="5"/>
  <c r="K13" i="5"/>
  <c r="J13" i="5"/>
  <c r="D13" i="5"/>
  <c r="G13" i="5"/>
  <c r="F13" i="5"/>
  <c r="P14" i="5"/>
  <c r="M14" i="5"/>
  <c r="L14" i="5"/>
  <c r="K14" i="5"/>
  <c r="J14" i="5"/>
  <c r="D14" i="5"/>
  <c r="G14" i="5"/>
  <c r="F14" i="5"/>
  <c r="P15" i="5"/>
  <c r="M15" i="5"/>
  <c r="L15" i="5"/>
  <c r="K15" i="5"/>
  <c r="J15" i="5"/>
  <c r="D15" i="5"/>
  <c r="G15" i="5"/>
  <c r="F15" i="5"/>
  <c r="P16" i="5"/>
  <c r="M16" i="5"/>
  <c r="L16" i="5"/>
  <c r="K16" i="5"/>
  <c r="J16" i="5"/>
  <c r="D16" i="5"/>
  <c r="G16" i="5"/>
  <c r="F16" i="5"/>
  <c r="P17" i="5"/>
  <c r="M17" i="5"/>
  <c r="L17" i="5"/>
  <c r="K17" i="5"/>
  <c r="J17" i="5"/>
  <c r="D17" i="5"/>
  <c r="G17" i="5"/>
  <c r="F17" i="5"/>
  <c r="P7" i="4"/>
  <c r="M7" i="4"/>
  <c r="L7" i="4"/>
  <c r="K7" i="4"/>
  <c r="J7" i="4"/>
  <c r="D7" i="4"/>
  <c r="G7" i="4"/>
  <c r="F7" i="4"/>
  <c r="P8" i="4"/>
  <c r="M8" i="4"/>
  <c r="L8" i="4"/>
  <c r="K8" i="4"/>
  <c r="J8" i="4"/>
  <c r="D8" i="4"/>
  <c r="G8" i="4"/>
  <c r="F8" i="4"/>
  <c r="P9" i="4"/>
  <c r="M9" i="4"/>
  <c r="L9" i="4"/>
  <c r="K9" i="4"/>
  <c r="J9" i="4"/>
  <c r="D9" i="4"/>
  <c r="G9" i="4"/>
  <c r="F9" i="4"/>
  <c r="P10" i="4"/>
  <c r="M10" i="4"/>
  <c r="L10" i="4"/>
  <c r="K10" i="4"/>
  <c r="J10" i="4"/>
  <c r="D10" i="4"/>
  <c r="G10" i="4"/>
  <c r="F10" i="4"/>
  <c r="P11" i="4"/>
  <c r="M11" i="4"/>
  <c r="L11" i="4"/>
  <c r="K11" i="4"/>
  <c r="J11" i="4"/>
  <c r="D11" i="4"/>
  <c r="G11" i="4"/>
  <c r="F11" i="4"/>
  <c r="P12" i="4"/>
  <c r="M12" i="4"/>
  <c r="L12" i="4"/>
  <c r="K12" i="4"/>
  <c r="J12" i="4"/>
  <c r="D12" i="4"/>
  <c r="G12" i="4"/>
  <c r="F12" i="4"/>
  <c r="P13" i="4"/>
  <c r="M13" i="4"/>
  <c r="L13" i="4"/>
  <c r="K13" i="4"/>
  <c r="J13" i="4"/>
  <c r="D13" i="4"/>
  <c r="G13" i="4"/>
  <c r="F13" i="4"/>
  <c r="P14" i="4"/>
  <c r="M14" i="4"/>
  <c r="L14" i="4"/>
  <c r="K14" i="4"/>
  <c r="J14" i="4"/>
  <c r="D14" i="4"/>
  <c r="G14" i="4"/>
  <c r="F14" i="4"/>
  <c r="P15" i="4"/>
  <c r="M15" i="4"/>
  <c r="L15" i="4"/>
  <c r="K15" i="4"/>
  <c r="J15" i="4"/>
  <c r="D15" i="4"/>
  <c r="G15" i="4"/>
  <c r="F15" i="4"/>
  <c r="P16" i="4"/>
  <c r="M16" i="4"/>
  <c r="L16" i="4"/>
  <c r="K16" i="4"/>
  <c r="J16" i="4"/>
  <c r="D16" i="4"/>
  <c r="G16" i="4"/>
  <c r="F16" i="4"/>
  <c r="P17" i="4"/>
  <c r="M17" i="4"/>
  <c r="L17" i="4"/>
  <c r="K17" i="4"/>
  <c r="J17" i="4"/>
  <c r="D17" i="4"/>
  <c r="G17" i="4"/>
  <c r="F17" i="4"/>
  <c r="P18" i="4"/>
  <c r="M18" i="4"/>
  <c r="L18" i="4"/>
  <c r="K18" i="4"/>
  <c r="J18" i="4"/>
  <c r="D18" i="4"/>
  <c r="G18" i="4"/>
  <c r="F18" i="4"/>
  <c r="D10" i="3"/>
  <c r="H9" i="3"/>
  <c r="E30" i="3"/>
  <c r="E21" i="3"/>
  <c r="M22" i="3" s="1"/>
  <c r="N22" i="3" s="1"/>
  <c r="F9" i="3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G30" i="3"/>
  <c r="G42" i="3" s="1"/>
  <c r="G21" i="3"/>
  <c r="K9" i="3"/>
  <c r="M9" i="3" s="1"/>
  <c r="K10" i="3"/>
  <c r="M10" i="3" s="1"/>
  <c r="K11" i="3"/>
  <c r="M11" i="3" s="1"/>
  <c r="K12" i="3"/>
  <c r="M12" i="3" s="1"/>
  <c r="K13" i="3"/>
  <c r="M13" i="3" s="1"/>
  <c r="K14" i="3"/>
  <c r="M14" i="3" s="1"/>
  <c r="K15" i="3"/>
  <c r="M15" i="3" s="1"/>
  <c r="K16" i="3"/>
  <c r="M16" i="3" s="1"/>
  <c r="K17" i="3"/>
  <c r="M17" i="3" s="1"/>
  <c r="K18" i="3"/>
  <c r="M18" i="3" s="1"/>
  <c r="K19" i="3"/>
  <c r="M19" i="3" s="1"/>
  <c r="K20" i="3"/>
  <c r="M20" i="3" s="1"/>
  <c r="D31" i="3"/>
  <c r="I30" i="3"/>
  <c r="K30" i="3" s="1"/>
  <c r="H30" i="3"/>
  <c r="F5" i="2"/>
  <c r="F4" i="2"/>
  <c r="F3" i="2"/>
  <c r="M17" i="2"/>
  <c r="K17" i="2"/>
  <c r="C28" i="2"/>
  <c r="D28" i="2" s="1"/>
  <c r="C27" i="2"/>
  <c r="D27" i="2" s="1"/>
  <c r="C26" i="2"/>
  <c r="D26" i="2" s="1"/>
  <c r="D34" i="2"/>
  <c r="F95" i="2"/>
  <c r="D95" i="2"/>
  <c r="E6" i="6" l="1"/>
  <c r="F5" i="6"/>
  <c r="D22" i="6"/>
  <c r="E22" i="6" s="1"/>
  <c r="B22" i="6"/>
  <c r="C22" i="6" s="1"/>
  <c r="N17" i="5"/>
  <c r="O21" i="5"/>
  <c r="N16" i="5"/>
  <c r="N15" i="5"/>
  <c r="N14" i="5"/>
  <c r="N13" i="5"/>
  <c r="N12" i="5"/>
  <c r="N11" i="5"/>
  <c r="N10" i="5"/>
  <c r="N9" i="5"/>
  <c r="N8" i="5"/>
  <c r="N7" i="5"/>
  <c r="H6" i="5"/>
  <c r="H7" i="5" s="1"/>
  <c r="N6" i="5"/>
  <c r="I6" i="5"/>
  <c r="Q18" i="5"/>
  <c r="N18" i="4"/>
  <c r="O22" i="4"/>
  <c r="P22" i="4" s="1"/>
  <c r="N17" i="4"/>
  <c r="N16" i="4"/>
  <c r="N15" i="4"/>
  <c r="N14" i="4"/>
  <c r="N13" i="4"/>
  <c r="N12" i="4"/>
  <c r="N11" i="4"/>
  <c r="N10" i="4"/>
  <c r="N9" i="4"/>
  <c r="N8" i="4"/>
  <c r="H7" i="4"/>
  <c r="H8" i="4" s="1"/>
  <c r="N7" i="4"/>
  <c r="I7" i="4"/>
  <c r="P19" i="4"/>
  <c r="L30" i="3"/>
  <c r="M30" i="3" s="1"/>
  <c r="D32" i="3"/>
  <c r="I31" i="3"/>
  <c r="K31" i="3" s="1"/>
  <c r="H31" i="3"/>
  <c r="M21" i="3"/>
  <c r="L9" i="3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N21" i="3"/>
  <c r="E42" i="3"/>
  <c r="F30" i="3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D11" i="3"/>
  <c r="H10" i="3"/>
  <c r="B74" i="2"/>
  <c r="F74" i="2" s="1"/>
  <c r="B57" i="2"/>
  <c r="F57" i="2" s="1"/>
  <c r="B56" i="2"/>
  <c r="F56" i="2" s="1"/>
  <c r="B44" i="2"/>
  <c r="F44" i="2" s="1"/>
  <c r="B2" i="2"/>
  <c r="B82" i="2"/>
  <c r="D82" i="2" s="1"/>
  <c r="B10" i="2"/>
  <c r="B116" i="2"/>
  <c r="B88" i="2"/>
  <c r="F22" i="6" l="1"/>
  <c r="J5" i="6"/>
  <c r="G5" i="6"/>
  <c r="H5" i="6"/>
  <c r="E7" i="6"/>
  <c r="F6" i="6"/>
  <c r="D23" i="6"/>
  <c r="E23" i="6" s="1"/>
  <c r="B23" i="6"/>
  <c r="C23" i="6" s="1"/>
  <c r="Q6" i="5"/>
  <c r="O6" i="5"/>
  <c r="H8" i="5"/>
  <c r="I7" i="5"/>
  <c r="Q7" i="5"/>
  <c r="O7" i="5"/>
  <c r="Q8" i="5"/>
  <c r="O8" i="5"/>
  <c r="Q9" i="5"/>
  <c r="O9" i="5"/>
  <c r="Q10" i="5"/>
  <c r="O10" i="5"/>
  <c r="Q11" i="5"/>
  <c r="O11" i="5"/>
  <c r="Q12" i="5"/>
  <c r="O12" i="5"/>
  <c r="Q13" i="5"/>
  <c r="O13" i="5"/>
  <c r="Q14" i="5"/>
  <c r="O14" i="5"/>
  <c r="Q15" i="5"/>
  <c r="O15" i="5"/>
  <c r="Q16" i="5"/>
  <c r="O16" i="5"/>
  <c r="S21" i="5"/>
  <c r="R21" i="5"/>
  <c r="P21" i="5"/>
  <c r="P23" i="5" s="1"/>
  <c r="O23" i="5" s="1"/>
  <c r="Q17" i="5"/>
  <c r="O17" i="5"/>
  <c r="Q7" i="4"/>
  <c r="O7" i="4"/>
  <c r="H9" i="4"/>
  <c r="I8" i="4"/>
  <c r="Q8" i="4"/>
  <c r="O8" i="4"/>
  <c r="Q9" i="4"/>
  <c r="O9" i="4"/>
  <c r="Q10" i="4"/>
  <c r="O10" i="4"/>
  <c r="Q11" i="4"/>
  <c r="O11" i="4"/>
  <c r="Q12" i="4"/>
  <c r="O12" i="4"/>
  <c r="Q13" i="4"/>
  <c r="O13" i="4"/>
  <c r="Q14" i="4"/>
  <c r="O14" i="4"/>
  <c r="Q15" i="4"/>
  <c r="O15" i="4"/>
  <c r="Q16" i="4"/>
  <c r="O16" i="4"/>
  <c r="Q17" i="4"/>
  <c r="O17" i="4"/>
  <c r="P24" i="4"/>
  <c r="O24" i="4" s="1"/>
  <c r="Q18" i="4"/>
  <c r="O18" i="4"/>
  <c r="D12" i="3"/>
  <c r="H11" i="3"/>
  <c r="L31" i="3"/>
  <c r="M31" i="3" s="1"/>
  <c r="D33" i="3"/>
  <c r="I32" i="3"/>
  <c r="K32" i="3" s="1"/>
  <c r="H32" i="3"/>
  <c r="D116" i="2"/>
  <c r="D88" i="2"/>
  <c r="B68" i="2"/>
  <c r="B66" i="2"/>
  <c r="F66" i="2" s="1"/>
  <c r="B48" i="2"/>
  <c r="B39" i="2"/>
  <c r="F39" i="2" s="1"/>
  <c r="B38" i="2"/>
  <c r="F38" i="2" s="1"/>
  <c r="B9" i="2"/>
  <c r="B53" i="2" s="1"/>
  <c r="B8" i="2"/>
  <c r="B72" i="2" s="1"/>
  <c r="F72" i="2" s="1"/>
  <c r="B7" i="2"/>
  <c r="B63" i="2" s="1"/>
  <c r="B5" i="2"/>
  <c r="B6" i="2" s="1"/>
  <c r="B3" i="2"/>
  <c r="O19" i="4" l="1"/>
  <c r="Q19" i="4"/>
  <c r="F23" i="6"/>
  <c r="J6" i="6"/>
  <c r="G6" i="6"/>
  <c r="H6" i="6"/>
  <c r="E8" i="6"/>
  <c r="F7" i="6"/>
  <c r="D24" i="6"/>
  <c r="E24" i="6" s="1"/>
  <c r="B24" i="6"/>
  <c r="C24" i="6" s="1"/>
  <c r="I5" i="6"/>
  <c r="K5" i="6"/>
  <c r="L5" i="6"/>
  <c r="H9" i="5"/>
  <c r="I8" i="5"/>
  <c r="P18" i="5"/>
  <c r="R18" i="5"/>
  <c r="H10" i="4"/>
  <c r="I9" i="4"/>
  <c r="L32" i="3"/>
  <c r="M32" i="3" s="1"/>
  <c r="D34" i="3"/>
  <c r="I33" i="3"/>
  <c r="K33" i="3" s="1"/>
  <c r="H33" i="3"/>
  <c r="D13" i="3"/>
  <c r="H12" i="3"/>
  <c r="B51" i="2"/>
  <c r="B49" i="2"/>
  <c r="B47" i="2"/>
  <c r="B42" i="2"/>
  <c r="F42" i="2" s="1"/>
  <c r="B80" i="2" s="1"/>
  <c r="B4" i="2"/>
  <c r="B52" i="2"/>
  <c r="B50" i="2"/>
  <c r="F63" i="2"/>
  <c r="D63" i="2"/>
  <c r="F53" i="2"/>
  <c r="D53" i="2"/>
  <c r="F48" i="2"/>
  <c r="D48" i="2"/>
  <c r="B69" i="2"/>
  <c r="F68" i="2"/>
  <c r="M5" i="6" l="1"/>
  <c r="F24" i="6"/>
  <c r="J7" i="6"/>
  <c r="G7" i="6"/>
  <c r="H7" i="6"/>
  <c r="E9" i="6"/>
  <c r="F8" i="6"/>
  <c r="D25" i="6"/>
  <c r="E25" i="6" s="1"/>
  <c r="B25" i="6"/>
  <c r="C25" i="6" s="1"/>
  <c r="I6" i="6"/>
  <c r="K6" i="6"/>
  <c r="L6" i="6"/>
  <c r="H10" i="5"/>
  <c r="I9" i="5"/>
  <c r="H11" i="4"/>
  <c r="I10" i="4"/>
  <c r="D14" i="3"/>
  <c r="H13" i="3"/>
  <c r="L33" i="3"/>
  <c r="M33" i="3" s="1"/>
  <c r="D35" i="3"/>
  <c r="I34" i="3"/>
  <c r="K34" i="3" s="1"/>
  <c r="H34" i="3"/>
  <c r="B71" i="2"/>
  <c r="F71" i="2" s="1"/>
  <c r="F69" i="2"/>
  <c r="F50" i="2"/>
  <c r="D50" i="2"/>
  <c r="F52" i="2"/>
  <c r="D52" i="2"/>
  <c r="B62" i="2"/>
  <c r="F62" i="2" s="1"/>
  <c r="B61" i="2"/>
  <c r="F61" i="2" s="1"/>
  <c r="G62" i="2" s="1"/>
  <c r="B75" i="2"/>
  <c r="F75" i="2" s="1"/>
  <c r="F47" i="2"/>
  <c r="D47" i="2"/>
  <c r="F49" i="2"/>
  <c r="D49" i="2"/>
  <c r="F51" i="2"/>
  <c r="D51" i="2"/>
  <c r="M6" i="6" l="1"/>
  <c r="F25" i="6"/>
  <c r="J8" i="6"/>
  <c r="G8" i="6"/>
  <c r="H8" i="6"/>
  <c r="E10" i="6"/>
  <c r="F9" i="6"/>
  <c r="D26" i="6"/>
  <c r="E26" i="6" s="1"/>
  <c r="B26" i="6"/>
  <c r="C26" i="6" s="1"/>
  <c r="I7" i="6"/>
  <c r="K7" i="6"/>
  <c r="L7" i="6"/>
  <c r="H11" i="5"/>
  <c r="I10" i="5"/>
  <c r="H12" i="4"/>
  <c r="I11" i="4"/>
  <c r="L34" i="3"/>
  <c r="M34" i="3" s="1"/>
  <c r="D36" i="3"/>
  <c r="I35" i="3"/>
  <c r="K35" i="3" s="1"/>
  <c r="H35" i="3"/>
  <c r="D15" i="3"/>
  <c r="H14" i="3"/>
  <c r="G50" i="2"/>
  <c r="F85" i="2"/>
  <c r="F122" i="2" s="1"/>
  <c r="B81" i="2"/>
  <c r="D81" i="2" s="1"/>
  <c r="D80" i="2"/>
  <c r="D85" i="2" s="1"/>
  <c r="G52" i="2"/>
  <c r="M7" i="6" l="1"/>
  <c r="F26" i="6"/>
  <c r="J9" i="6"/>
  <c r="G9" i="6"/>
  <c r="H9" i="6"/>
  <c r="E11" i="6"/>
  <c r="F10" i="6"/>
  <c r="D27" i="6"/>
  <c r="E27" i="6" s="1"/>
  <c r="B27" i="6"/>
  <c r="C27" i="6" s="1"/>
  <c r="I8" i="6"/>
  <c r="K8" i="6"/>
  <c r="L8" i="6"/>
  <c r="H12" i="5"/>
  <c r="I11" i="5"/>
  <c r="H13" i="4"/>
  <c r="I12" i="4"/>
  <c r="D16" i="3"/>
  <c r="H15" i="3"/>
  <c r="L35" i="3"/>
  <c r="M35" i="3" s="1"/>
  <c r="D37" i="3"/>
  <c r="I36" i="3"/>
  <c r="K36" i="3" s="1"/>
  <c r="H36" i="3"/>
  <c r="D112" i="2"/>
  <c r="D99" i="2"/>
  <c r="D115" i="2"/>
  <c r="B118" i="2" s="1"/>
  <c r="D118" i="2" s="1"/>
  <c r="M8" i="6" l="1"/>
  <c r="F27" i="6"/>
  <c r="J10" i="6"/>
  <c r="G10" i="6"/>
  <c r="H10" i="6"/>
  <c r="E12" i="6"/>
  <c r="F11" i="6"/>
  <c r="D28" i="6"/>
  <c r="E28" i="6" s="1"/>
  <c r="B28" i="6"/>
  <c r="C28" i="6" s="1"/>
  <c r="I9" i="6"/>
  <c r="K9" i="6"/>
  <c r="L9" i="6"/>
  <c r="H13" i="5"/>
  <c r="I12" i="5"/>
  <c r="H14" i="4"/>
  <c r="I13" i="4"/>
  <c r="L36" i="3"/>
  <c r="M36" i="3" s="1"/>
  <c r="D38" i="3"/>
  <c r="I37" i="3"/>
  <c r="K37" i="3" s="1"/>
  <c r="H37" i="3"/>
  <c r="D17" i="3"/>
  <c r="H16" i="3"/>
  <c r="D120" i="2"/>
  <c r="M9" i="6" l="1"/>
  <c r="F28" i="6"/>
  <c r="J11" i="6"/>
  <c r="G11" i="6"/>
  <c r="H11" i="6"/>
  <c r="E13" i="6"/>
  <c r="F12" i="6"/>
  <c r="D29" i="6"/>
  <c r="E29" i="6" s="1"/>
  <c r="B29" i="6"/>
  <c r="C29" i="6" s="1"/>
  <c r="I10" i="6"/>
  <c r="K10" i="6"/>
  <c r="L10" i="6"/>
  <c r="H14" i="5"/>
  <c r="I13" i="5"/>
  <c r="H15" i="4"/>
  <c r="I14" i="4"/>
  <c r="D18" i="3"/>
  <c r="H17" i="3"/>
  <c r="L37" i="3"/>
  <c r="M37" i="3" s="1"/>
  <c r="D39" i="3"/>
  <c r="I38" i="3"/>
  <c r="K38" i="3" s="1"/>
  <c r="H38" i="3"/>
  <c r="M10" i="6" l="1"/>
  <c r="F29" i="6"/>
  <c r="J12" i="6"/>
  <c r="G12" i="6"/>
  <c r="H12" i="6"/>
  <c r="E14" i="6"/>
  <c r="F13" i="6"/>
  <c r="D30" i="6"/>
  <c r="E30" i="6" s="1"/>
  <c r="B30" i="6"/>
  <c r="C30" i="6" s="1"/>
  <c r="I11" i="6"/>
  <c r="K11" i="6"/>
  <c r="L11" i="6"/>
  <c r="H15" i="5"/>
  <c r="I14" i="5"/>
  <c r="H16" i="4"/>
  <c r="I15" i="4"/>
  <c r="L38" i="3"/>
  <c r="M38" i="3" s="1"/>
  <c r="D40" i="3"/>
  <c r="I39" i="3"/>
  <c r="K39" i="3" s="1"/>
  <c r="H39" i="3"/>
  <c r="D19" i="3"/>
  <c r="H18" i="3"/>
  <c r="M11" i="6" l="1"/>
  <c r="F30" i="6"/>
  <c r="J13" i="6"/>
  <c r="G13" i="6"/>
  <c r="H13" i="6"/>
  <c r="E15" i="6"/>
  <c r="F14" i="6"/>
  <c r="D31" i="6"/>
  <c r="E31" i="6" s="1"/>
  <c r="B31" i="6"/>
  <c r="C31" i="6" s="1"/>
  <c r="I12" i="6"/>
  <c r="K12" i="6"/>
  <c r="L12" i="6"/>
  <c r="H16" i="5"/>
  <c r="I15" i="5"/>
  <c r="H17" i="4"/>
  <c r="I16" i="4"/>
  <c r="D20" i="3"/>
  <c r="H20" i="3" s="1"/>
  <c r="H19" i="3"/>
  <c r="L39" i="3"/>
  <c r="M39" i="3" s="1"/>
  <c r="D41" i="3"/>
  <c r="I40" i="3"/>
  <c r="K40" i="3" s="1"/>
  <c r="H40" i="3"/>
  <c r="M12" i="6" l="1"/>
  <c r="F31" i="6"/>
  <c r="J14" i="6"/>
  <c r="G14" i="6"/>
  <c r="H14" i="6"/>
  <c r="E16" i="6"/>
  <c r="F15" i="6"/>
  <c r="D32" i="6"/>
  <c r="E32" i="6" s="1"/>
  <c r="B32" i="6"/>
  <c r="C32" i="6" s="1"/>
  <c r="I13" i="6"/>
  <c r="K13" i="6"/>
  <c r="L13" i="6"/>
  <c r="H17" i="5"/>
  <c r="I16" i="5"/>
  <c r="H18" i="4"/>
  <c r="I17" i="4"/>
  <c r="L40" i="3"/>
  <c r="M40" i="3" s="1"/>
  <c r="I41" i="3"/>
  <c r="K41" i="3" s="1"/>
  <c r="H41" i="3"/>
  <c r="M13" i="6" l="1"/>
  <c r="F32" i="6"/>
  <c r="J15" i="6"/>
  <c r="G15" i="6"/>
  <c r="H15" i="6"/>
  <c r="F16" i="6"/>
  <c r="D33" i="6"/>
  <c r="E33" i="6" s="1"/>
  <c r="E35" i="6" s="1"/>
  <c r="B33" i="6"/>
  <c r="C33" i="6" s="1"/>
  <c r="I14" i="6"/>
  <c r="K14" i="6"/>
  <c r="L14" i="6"/>
  <c r="Q21" i="5"/>
  <c r="Q24" i="5" s="1"/>
  <c r="O24" i="5" s="1"/>
  <c r="I17" i="5"/>
  <c r="Q22" i="4"/>
  <c r="Q25" i="4" s="1"/>
  <c r="O25" i="4" s="1"/>
  <c r="I18" i="4"/>
  <c r="L41" i="3"/>
  <c r="M41" i="3" s="1"/>
  <c r="M42" i="3"/>
  <c r="M14" i="6" l="1"/>
  <c r="F33" i="6"/>
  <c r="C35" i="6"/>
  <c r="J16" i="6"/>
  <c r="G16" i="6"/>
  <c r="H16" i="6"/>
  <c r="F18" i="6"/>
  <c r="I15" i="6"/>
  <c r="H18" i="6"/>
  <c r="K15" i="6"/>
  <c r="L15" i="6"/>
  <c r="J18" i="6"/>
  <c r="F35" i="6"/>
  <c r="M15" i="6" l="1"/>
  <c r="I16" i="6"/>
  <c r="K16" i="6"/>
  <c r="L16" i="6"/>
  <c r="M16" i="6" l="1"/>
  <c r="L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Autoría desconocida</author>
    <author>38010-81-11</author>
  </authors>
  <commentList>
    <comment ref="D2" authorId="0" shapeId="0" xr:uid="{21B56ECC-1616-4E33-9EEB-B2E778DDF4B3}">
      <text>
        <r>
          <rPr>
            <sz val="10"/>
            <color rgb="FF000000"/>
            <rFont val="Liberation Sans"/>
          </rPr>
          <t>A proratiser =</t>
        </r>
        <r>
          <rPr>
            <sz val="10"/>
            <color rgb="FF000000"/>
            <rFont val="Liberation Sans"/>
          </rPr>
          <t xml:space="preserve">
nbr d'heures contrat * taux horaire smic * ( salaire brute ss prime fixe / salaire théorique ) + (H.S et H.C * taux horaire smic)</t>
        </r>
      </text>
    </comment>
    <comment ref="D6" authorId="0" shapeId="0" xr:uid="{4D952CC2-3897-453B-AD1A-19F39600E636}">
      <text>
        <r>
          <rPr>
            <sz val="10"/>
            <color rgb="FF000000"/>
            <rFont val="Liberation Sans"/>
          </rPr>
          <t>A proratiser =</t>
        </r>
        <r>
          <rPr>
            <sz val="10"/>
            <color rgb="FF000000"/>
            <rFont val="Liberation Sans"/>
          </rPr>
          <t xml:space="preserve">
plafond mensuelle  * ((durée contractuelle + H.C) / durée légale) * nbre de jour travaillé / jours calendaire</t>
        </r>
      </text>
    </comment>
    <comment ref="A23" authorId="1" shapeId="0" xr:uid="{34C7CF21-E064-4892-B45B-84D182C61715}">
      <text>
        <r>
          <rPr>
            <sz val="9"/>
            <color indexed="81"/>
            <rFont val="Tahoma"/>
            <family val="2"/>
          </rPr>
          <t xml:space="preserve">moyenne: 
ouvrés = 21,67
ouvrables = 26
</t>
        </r>
      </text>
    </comment>
    <comment ref="A24" authorId="1" shapeId="0" xr:uid="{98E74FC2-8DD4-4FE1-A127-156FB31E965B}">
      <text>
        <r>
          <rPr>
            <sz val="9"/>
            <color indexed="81"/>
            <rFont val="Tahoma"/>
            <family val="2"/>
          </rPr>
          <t xml:space="preserve">Maladie non pro: 7 jours de carence
Accident de trajet: 7 jours de carence
AT/MP: 0 jours de carence
= 90% pendant 30 jours puis 2/3 les 30 jours suivant
= (salaire x absence x période du mois) x 90% 
</t>
        </r>
      </text>
    </comment>
    <comment ref="A26" authorId="1" shapeId="0" xr:uid="{8180D81E-2066-4C6B-90F0-62F4947785F3}">
      <text>
        <r>
          <rPr>
            <sz val="9"/>
            <color indexed="81"/>
            <rFont val="Tahoma"/>
            <family val="2"/>
          </rPr>
          <t>Légal : 1/10 des heures complémentaire à 10%</t>
        </r>
      </text>
    </comment>
    <comment ref="A30" authorId="1" shapeId="0" xr:uid="{B696C356-E888-4E26-A971-877D5ED975C8}">
      <text>
        <r>
          <rPr>
            <b/>
            <sz val="9"/>
            <color indexed="81"/>
            <rFont val="Tahoma"/>
            <family val="2"/>
          </rPr>
          <t>38010-81-11:</t>
        </r>
        <r>
          <rPr>
            <sz val="9"/>
            <color indexed="81"/>
            <rFont val="Tahoma"/>
            <family val="2"/>
          </rPr>
          <t xml:space="preserve">
Maladie non pro (3 jours de carences) 
=( 3 derniers salaires bruts / 91,25 )
x 50%
max : 1,8 smic (52,28)
AT/MP = ( dernier salaire bruts/ 30,42)
x 60% (28 premiers jours) puis 80%
max: 0,834% du pass (232,03)
Maternité= (3 derniers salaires / 91,25)
x 79% 
max: 100,36
attention A.T à mettre même sans subro</t>
        </r>
      </text>
    </comment>
    <comment ref="A31" authorId="1" shapeId="0" xr:uid="{A07C1E23-2DE4-458F-AF7C-E0D6EDC1A853}">
      <text>
        <r>
          <rPr>
            <sz val="9"/>
            <color indexed="81"/>
            <rFont val="Tahoma"/>
            <family val="2"/>
          </rPr>
          <t>règle du 10e =
(rémunération brute totale /10)
x nbre de jours pris, acquis ou donnés par l'entreprise / 25 ou 30
règle du maintient = 
salaire x nbre de jours pris ou acquis / 26 ou 21,67
Equivalent : 1 mois = 4 semaines = 24 jours ouvrables = 28 jours calendaires = 20 jours ouvrés
1: determiner la rému totale de la période de référence
2: determiner le nbr de CP
3: calculer au 10ème et au 26ème</t>
        </r>
      </text>
    </comment>
    <comment ref="A33" authorId="1" shapeId="0" xr:uid="{F9AC2C37-FBB4-4F29-9138-0F99EF2FAC81}">
      <text>
        <r>
          <rPr>
            <b/>
            <sz val="9"/>
            <color indexed="81"/>
            <rFont val="Tahoma"/>
            <family val="2"/>
          </rPr>
          <t xml:space="preserve">net strict :
</t>
        </r>
        <r>
          <rPr>
            <sz val="9"/>
            <color indexed="81"/>
            <rFont val="Tahoma"/>
            <family val="2"/>
          </rPr>
          <t xml:space="preserve">valeur cible =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salaire ss abs - CSG sur les IJSS (6,70%) 
ou
valeur cible = 
(IJSS brutes - nettes) - salaire ss absence
</t>
        </r>
      </text>
    </comment>
    <comment ref="A41" authorId="1" shapeId="0" xr:uid="{D3D5E4CA-69EF-4375-BF47-AF21F9198B1F}">
      <text>
        <r>
          <rPr>
            <sz val="9"/>
            <color indexed="81"/>
            <rFont val="Tahoma"/>
            <family val="2"/>
          </rPr>
          <t>versement santé =
PP mutuelle x nbre d'heures travaillées / 151,67 x 1,25 
min : 20,75€
remboursement en bas 
part patronale ici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E69" authorId="0" shapeId="0" xr:uid="{D77B0EEE-176A-4CE2-B157-5AF99637E4B8}">
      <text>
        <r>
          <rPr>
            <sz val="10"/>
            <color rgb="FF000000"/>
            <rFont val="Liberation Sans"/>
          </rPr>
          <t>0.55% (&lt;11 salariés)</t>
        </r>
        <r>
          <rPr>
            <sz val="10"/>
            <color rgb="FF000000"/>
            <rFont val="Liberation Sans"/>
          </rPr>
          <t xml:space="preserve">
1% (&gt;=11 salariés)</t>
        </r>
      </text>
    </comment>
    <comment ref="B76" authorId="0" shapeId="0" xr:uid="{39D8F37C-14B0-468A-8494-7C885D76D8F8}">
      <text>
        <r>
          <rPr>
            <sz val="10"/>
            <color rgb="FF000000"/>
            <rFont val="Liberation Sans"/>
          </rPr>
          <t>Indemnité de rupture conventionel ou mise à la retraite employeur</t>
        </r>
      </text>
    </comment>
    <comment ref="A83" authorId="0" shapeId="0" xr:uid="{5B784B4E-418D-4BD7-BFC1-C9552FAFB75B}">
      <text>
        <r>
          <rPr>
            <b/>
            <sz val="9"/>
            <color rgb="FF000000"/>
            <rFont val="Liberation Sans"/>
          </rPr>
          <t>38010-81-11:</t>
        </r>
        <r>
          <rPr>
            <b/>
            <sz val="9"/>
            <color rgb="FF000000"/>
            <rFont val="Liberation Sans"/>
          </rPr>
          <t xml:space="preserve">
</t>
        </r>
        <r>
          <rPr>
            <sz val="9"/>
            <color rgb="FF000000"/>
            <rFont val="Liberation Sans"/>
          </rPr>
          <t>participation patronale</t>
        </r>
        <r>
          <rPr>
            <sz val="9"/>
            <color rgb="FF000000"/>
            <rFont val="Liberation Sans"/>
          </rPr>
          <t xml:space="preserve">
des Chèques vacances</t>
        </r>
      </text>
    </comment>
    <comment ref="B83" authorId="0" shapeId="0" xr:uid="{E7EFBABB-CB72-4E1C-8F9C-9D2FE76F4E20}">
      <text>
        <r>
          <rPr>
            <b/>
            <sz val="9"/>
            <color rgb="FF000000"/>
            <rFont val="Liberation Sans"/>
          </rPr>
          <t>38010-81-11:</t>
        </r>
        <r>
          <rPr>
            <b/>
            <sz val="9"/>
            <color rgb="FF000000"/>
            <rFont val="Liberation Sans"/>
          </rPr>
          <t xml:space="preserve">
</t>
        </r>
        <r>
          <rPr>
            <sz val="9"/>
            <color rgb="FF000000"/>
            <rFont val="Liberation Sans"/>
          </rPr>
          <t>Ajouter la part patronale des Chèques vacances limitée à 30% du SMIC en vigueur</t>
        </r>
      </text>
    </comment>
    <comment ref="C88" authorId="0" shapeId="0" xr:uid="{C890634C-6F7C-4244-ACB7-8685C462C299}">
      <text>
        <r>
          <rPr>
            <sz val="10"/>
            <color rgb="FF000000"/>
            <rFont val="Liberation Sans"/>
          </rPr>
          <t>11,31 % max
= vieillesse plafonnée et déplafonée + retraite complémentaire T1 + CEG T1</t>
        </r>
      </text>
    </comment>
    <comment ref="F90" authorId="0" shapeId="0" xr:uid="{BE1B95A0-4F55-4B78-B8F2-EBE226DE7DF8}">
      <text>
        <r>
          <rPr>
            <b/>
            <sz val="9"/>
            <color rgb="FF000000"/>
            <rFont val="Liberation Sans"/>
          </rPr>
          <t>38010-81-11:</t>
        </r>
        <r>
          <rPr>
            <b/>
            <sz val="9"/>
            <color rgb="FF000000"/>
            <rFont val="Liberation Sans"/>
          </rPr>
          <t xml:space="preserve">
</t>
        </r>
        <r>
          <rPr>
            <sz val="9"/>
            <color rgb="FF000000"/>
            <rFont val="Liberation Sans"/>
          </rPr>
          <t>si reduction indiquer le montant en négatif</t>
        </r>
      </text>
    </comment>
    <comment ref="D99" authorId="0" shapeId="0" xr:uid="{BCF01CC1-D5A3-443E-8CA2-0B64E3E8169C}">
      <text>
        <r>
          <rPr>
            <sz val="10"/>
            <color rgb="FF000000"/>
            <rFont val="Liberation Sans"/>
          </rPr>
          <t>A partir du 01/01/2024, montant net social = salaire brut - cotisations salariales collectives + IJSS subrogées + indemnité de rupture + prime de partage de la valeur</t>
        </r>
      </text>
    </comment>
    <comment ref="A104" authorId="0" shapeId="0" xr:uid="{A46B4185-059B-43E2-BE75-2F260687DE64}">
      <text>
        <r>
          <rPr>
            <sz val="10"/>
            <color rgb="FF000000"/>
            <rFont val="Liberation Sans"/>
          </rPr>
          <t>= IJSS brute x 0,933</t>
        </r>
      </text>
    </comment>
    <comment ref="A109" authorId="0" shapeId="0" xr:uid="{ECBD5858-D6CE-4AA6-B459-976A9BC36303}">
      <text>
        <r>
          <rPr>
            <sz val="10"/>
            <color rgb="FF000000"/>
            <rFont val="Liberation Sans"/>
          </rPr>
          <t>Base = salaire – cotis – PAS</t>
        </r>
        <r>
          <rPr>
            <sz val="10"/>
            <color rgb="FF000000"/>
            <rFont val="Liberation Sans"/>
          </rPr>
          <t xml:space="preserve">
Max</t>
        </r>
        <r>
          <rPr>
            <sz val="10"/>
            <color rgb="FF000000"/>
            <rFont val="Liberation Sans"/>
          </rPr>
          <t xml:space="preserve">
Max : 1/10e du salaire net</t>
        </r>
      </text>
    </comment>
    <comment ref="A110" authorId="0" shapeId="0" xr:uid="{911C262C-F413-4087-BED7-0EDF72F9C4DA}">
      <text>
        <r>
          <rPr>
            <sz val="10"/>
            <color rgb="FF000000"/>
            <rFont val="Liberation Sans"/>
          </rPr>
          <t>Base = salaire – cotis - PAS</t>
        </r>
        <r>
          <rPr>
            <sz val="10"/>
            <color rgb="FF000000"/>
            <rFont val="Liberation Sans"/>
          </rPr>
          <t xml:space="preserve">
-son montant ne peut dépasser la rémunération</t>
        </r>
        <r>
          <rPr>
            <sz val="10"/>
            <color rgb="FF000000"/>
            <rFont val="Liberation Sans"/>
          </rPr>
          <t xml:space="preserve">
-</t>
        </r>
      </text>
    </comment>
    <comment ref="B118" authorId="0" shapeId="0" xr:uid="{95A5C621-5BDF-468F-89A4-224645419B96}">
      <text>
        <r>
          <rPr>
            <sz val="10"/>
            <color rgb="FF000000"/>
            <rFont val="Liberation Sans"/>
          </rPr>
          <t>Attention</t>
        </r>
        <r>
          <rPr>
            <sz val="10"/>
            <color rgb="FF000000"/>
            <rFont val="Liberation Sans"/>
          </rPr>
          <t xml:space="preserve">
</t>
        </r>
        <r>
          <rPr>
            <sz val="11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Liberation Sans"/>
          </rPr>
          <t>*Enlever l'abattement de 725€ (en 2024) pour les CDD de - 2 mois seulement en cas de taux neutre</t>
        </r>
        <r>
          <rPr>
            <sz val="10"/>
            <color rgb="FF000000"/>
            <rFont val="Liberation Sans"/>
          </rPr>
          <t xml:space="preserve">
*Ajouter les IJJSS brutes subrogées*0,962 en cas de subrogation maladie (les 60 premiers jours calendaires d'arrêt)</t>
        </r>
        <r>
          <rPr>
            <sz val="10"/>
            <color rgb="FF000000"/>
            <rFont val="Liberation Sans"/>
          </rPr>
          <t xml:space="preserve">
*Ajouter les IJJSS brutes subrogées*0,962*50% en cas de subrogation AT/MP (non limité dans le temps)</t>
        </r>
        <r>
          <rPr>
            <sz val="10"/>
            <color rgb="FF000000"/>
            <rFont val="Liberation Sans"/>
          </rPr>
          <t xml:space="preserve">
*Ajouter la part patronale des Chèques vacances limitée à 30% du SMIC en vigueur</t>
        </r>
        <r>
          <rPr>
            <sz val="10"/>
            <color rgb="FF000000"/>
            <rFont val="Liberation Sans"/>
          </rPr>
          <t xml:space="preserve">
*Ajouter part patronale TR - part excédentaire déjà soumise à cotisations dans les cas où le régime fiscal ne suit pas le régime social (cas où la part patronale dépasse les 60%)</t>
        </r>
        <r>
          <rPr>
            <sz val="10"/>
            <color rgb="FF000000"/>
            <rFont val="Liberation Sans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Autoría desconocida</author>
  </authors>
  <commentList>
    <comment ref="P3" authorId="0" shapeId="0" xr:uid="{9A1E3798-6471-47ED-B531-47FB96C27BDF}">
      <text>
        <r>
          <rPr>
            <b/>
            <sz val="9"/>
            <color rgb="FF000000"/>
            <rFont val="Liberation Sans"/>
          </rPr>
          <t>Cotisations :</t>
        </r>
        <r>
          <rPr>
            <b/>
            <sz val="9"/>
            <color rgb="FF000000"/>
            <rFont val="Liberation Sans"/>
          </rPr>
          <t xml:space="preserve">
Assurance maladie 7%</t>
        </r>
        <r>
          <rPr>
            <b/>
            <sz val="9"/>
            <color rgb="FF000000"/>
            <rFont val="Liberation Sans"/>
          </rPr>
          <t xml:space="preserve">
Assurance vieillesse plafonnée 8.55%</t>
        </r>
        <r>
          <rPr>
            <b/>
            <sz val="9"/>
            <color rgb="FF000000"/>
            <rFont val="Liberation Sans"/>
          </rPr>
          <t xml:space="preserve">
Assurance vieillesse déplafonnée 2.02%</t>
        </r>
        <r>
          <rPr>
            <b/>
            <sz val="9"/>
            <color rgb="FF000000"/>
            <rFont val="Liberation Sans"/>
          </rPr>
          <t xml:space="preserve">
Allocations familiales 3.45%</t>
        </r>
        <r>
          <rPr>
            <b/>
            <sz val="9"/>
            <color rgb="FF000000"/>
            <rFont val="Liberation Sans"/>
          </rPr>
          <t xml:space="preserve">
AT/MP 0.46%</t>
        </r>
        <r>
          <rPr>
            <b/>
            <sz val="9"/>
            <color rgb="FF000000"/>
            <rFont val="Liberation Sans"/>
          </rPr>
          <t xml:space="preserve">
Contribution de solidarité pour l'autonomie 0.30%</t>
        </r>
        <r>
          <rPr>
            <b/>
            <sz val="9"/>
            <color rgb="FF000000"/>
            <rFont val="Liberation Sans"/>
          </rPr>
          <t xml:space="preserve">
Caisse de retraite complémentaire obligatoire 6.01%</t>
        </r>
        <r>
          <rPr>
            <b/>
            <sz val="9"/>
            <color rgb="FF000000"/>
            <rFont val="Liberation Sans"/>
          </rPr>
          <t xml:space="preserve">
Assurance chômage 4.05%</t>
        </r>
        <r>
          <rPr>
            <b/>
            <sz val="9"/>
            <color rgb="FF000000"/>
            <rFont val="Liberation Sans"/>
          </rPr>
          <t xml:space="preserve">
Contribution FNAL 0.1%</t>
        </r>
        <r>
          <rPr>
            <b/>
            <sz val="9"/>
            <color rgb="FF000000"/>
            <rFont val="Liberation Sans"/>
          </rPr>
          <t xml:space="preserve">
</t>
        </r>
        <r>
          <rPr>
            <sz val="9"/>
            <color rgb="FF000000"/>
            <rFont val="Liberation Sans"/>
          </rPr>
          <t xml:space="preserve">
</t>
        </r>
      </text>
    </comment>
    <comment ref="P4" authorId="0" shapeId="0" xr:uid="{6574CC6E-CC30-46C3-81B8-3BCED6E4D158}">
      <text>
        <r>
          <rPr>
            <b/>
            <sz val="9"/>
            <color rgb="FF000000"/>
            <rFont val="Liberation Sans"/>
          </rPr>
          <t>Cotisations :</t>
        </r>
        <r>
          <rPr>
            <b/>
            <sz val="9"/>
            <color rgb="FF000000"/>
            <rFont val="Liberation Sans"/>
          </rPr>
          <t xml:space="preserve">
Assurance maladie 7%</t>
        </r>
        <r>
          <rPr>
            <b/>
            <sz val="9"/>
            <color rgb="FF000000"/>
            <rFont val="Liberation Sans"/>
          </rPr>
          <t xml:space="preserve">
Assurance vieillesse plafonnée 8.55%</t>
        </r>
        <r>
          <rPr>
            <b/>
            <sz val="9"/>
            <color rgb="FF000000"/>
            <rFont val="Liberation Sans"/>
          </rPr>
          <t xml:space="preserve">
Assurance vieillesse déplafonnée 2.02%</t>
        </r>
        <r>
          <rPr>
            <b/>
            <sz val="9"/>
            <color rgb="FF000000"/>
            <rFont val="Liberation Sans"/>
          </rPr>
          <t xml:space="preserve">
Allocations familiales 3.45%</t>
        </r>
        <r>
          <rPr>
            <b/>
            <sz val="9"/>
            <color rgb="FF000000"/>
            <rFont val="Liberation Sans"/>
          </rPr>
          <t xml:space="preserve">
AT/MP 0.46%</t>
        </r>
        <r>
          <rPr>
            <b/>
            <sz val="9"/>
            <color rgb="FF000000"/>
            <rFont val="Liberation Sans"/>
          </rPr>
          <t xml:space="preserve">
Contribution de solidarité pour l'autonomie 0.30%</t>
        </r>
        <r>
          <rPr>
            <b/>
            <sz val="9"/>
            <color rgb="FF000000"/>
            <rFont val="Liberation Sans"/>
          </rPr>
          <t xml:space="preserve">
Caisse de retraite complémentaire obligatoire 6.01%</t>
        </r>
        <r>
          <rPr>
            <b/>
            <sz val="9"/>
            <color rgb="FF000000"/>
            <rFont val="Liberation Sans"/>
          </rPr>
          <t xml:space="preserve">
Assurance chômage 4.05%</t>
        </r>
        <r>
          <rPr>
            <b/>
            <sz val="9"/>
            <color rgb="FF000000"/>
            <rFont val="Liberation Sans"/>
          </rPr>
          <t xml:space="preserve">
Contribution FNAL 0.5%</t>
        </r>
        <r>
          <rPr>
            <b/>
            <sz val="9"/>
            <color rgb="FF000000"/>
            <rFont val="Liberation Sans"/>
          </rPr>
          <t xml:space="preserve">
</t>
        </r>
        <r>
          <rPr>
            <sz val="9"/>
            <color rgb="FF000000"/>
            <rFont val="Liberation Sans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Autoría desconocida</author>
  </authors>
  <commentList>
    <comment ref="D4" authorId="0" shapeId="0" xr:uid="{FE5CA1BB-0D06-4833-B3AA-56990C45AC87}">
      <text>
        <r>
          <rPr>
            <b/>
            <sz val="9"/>
            <color rgb="FF000000"/>
            <rFont val="Liberation Sans"/>
          </rPr>
          <t>A proratiser éventuellement</t>
        </r>
        <r>
          <rPr>
            <b/>
            <sz val="9"/>
            <color rgb="FF000000"/>
            <rFont val="Liberation Sans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Auteur inconnu</author>
  </authors>
  <commentList>
    <comment ref="A2" authorId="0" shapeId="0" xr:uid="{6FF40882-32AA-48F1-8C1E-5C5113C9182C}">
      <text>
        <r>
          <rPr>
            <sz val="10"/>
            <color theme="1"/>
            <rFont val="Liberation Sans"/>
          </rPr>
          <t xml:space="preserve">Cumul d’un mandat social avec un contrat de travail
Conditions de cumul:
-Fonctions et rémunération distincte salarié/mandataire
-Lien de subordination avec la société.
Attention 2 rémunérations :
Contractuelle et statutaire
</t>
        </r>
      </text>
    </comment>
    <comment ref="H6" authorId="0" shapeId="0" xr:uid="{572D39CE-F6A7-4E54-9417-00295624FC85}">
      <text>
        <r>
          <rPr>
            <sz val="10"/>
            <color theme="1"/>
            <rFont val="Liberation Sans"/>
          </rPr>
          <t>Attention priorité contrat de travail contractuelle puis reste sur contrat mandataire</t>
        </r>
      </text>
    </comment>
    <comment ref="D16" authorId="0" shapeId="0" xr:uid="{76D30962-0E28-4BA9-9506-A312BE3ECA6D}">
      <text>
        <r>
          <rPr>
            <sz val="10"/>
            <color theme="1"/>
            <rFont val="Liberation Sans"/>
          </rPr>
          <t>Ne pas préciser d’heures de travail</t>
        </r>
      </text>
    </comment>
    <comment ref="A39" authorId="0" shapeId="0" xr:uid="{394960F6-90B7-43DE-810D-B70BE660EC38}">
      <text>
        <r>
          <rPr>
            <sz val="10"/>
            <color theme="1"/>
            <rFont val="Liberation Sans"/>
          </rPr>
          <t>Attention base = rému contractuelle + mandataire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Auteur inconnu</author>
    <author>38010-81-11</author>
  </authors>
  <commentList>
    <comment ref="D2" authorId="0" shapeId="0" xr:uid="{3FBD2C77-2559-43C7-B8D0-69C9C20384A1}">
      <text>
        <r>
          <rPr>
            <sz val="10"/>
            <color theme="1"/>
            <rFont val="Liberation Sans"/>
          </rPr>
          <t>A proratiser = 
nbr d'heures contrat * taux horaire smic * ( salaire brute ss prime fixe / salaire théorique ) + (H.S et H.C * taux horaire smic)</t>
        </r>
      </text>
    </comment>
    <comment ref="D6" authorId="0" shapeId="0" xr:uid="{D283262A-0C23-49FA-9796-C977153076E0}">
      <text>
        <r>
          <rPr>
            <sz val="10"/>
            <color theme="1"/>
            <rFont val="Liberation Sans"/>
          </rPr>
          <t>A proratiser = 
plafond mensuelle  * ((durée contractuelle + H.C) / durée légale) * nbre de jour travaillé / jours calendaire</t>
        </r>
      </text>
    </comment>
    <comment ref="E61" authorId="0" shapeId="0" xr:uid="{2F954D7D-8D2D-4CA4-8216-45B334552591}">
      <text>
        <r>
          <rPr>
            <sz val="10"/>
            <color theme="1"/>
            <rFont val="Liberation Sans"/>
          </rPr>
          <t>0.55% (&lt;11 salariés)
1% (&gt;=11 salariés)</t>
        </r>
      </text>
    </comment>
    <comment ref="B68" authorId="0" shapeId="0" xr:uid="{A95FCCD1-8BDE-4DD8-9D50-801314ABE28A}">
      <text>
        <r>
          <rPr>
            <sz val="10"/>
            <color theme="1"/>
            <rFont val="Liberation Sans"/>
          </rPr>
          <t>Indemnité de rupture</t>
        </r>
      </text>
    </comment>
    <comment ref="A75" authorId="1" shapeId="0" xr:uid="{1B66E5BE-B1EA-40A4-BB59-17518A2C2907}">
      <text>
        <r>
          <rPr>
            <b/>
            <sz val="9"/>
            <color indexed="81"/>
            <rFont val="Tahoma"/>
            <family val="2"/>
          </rPr>
          <t>38010-81-11:</t>
        </r>
        <r>
          <rPr>
            <sz val="9"/>
            <color indexed="81"/>
            <rFont val="Tahoma"/>
            <family val="2"/>
          </rPr>
          <t xml:space="preserve">
participation patronale 
des Chèques vacances</t>
        </r>
      </text>
    </comment>
    <comment ref="B75" authorId="1" shapeId="0" xr:uid="{BADB9F60-5387-4899-8B64-9401B1D227F5}">
      <text>
        <r>
          <rPr>
            <b/>
            <sz val="9"/>
            <color indexed="81"/>
            <rFont val="Tahoma"/>
            <family val="2"/>
          </rPr>
          <t>38010-81-11:</t>
        </r>
        <r>
          <rPr>
            <sz val="9"/>
            <color indexed="81"/>
            <rFont val="Tahoma"/>
            <family val="2"/>
          </rPr>
          <t xml:space="preserve">
Ajouter la part patronale des Chèques vacances limitée à 30% du SMIC en vigueur</t>
        </r>
      </text>
    </comment>
    <comment ref="C80" authorId="0" shapeId="0" xr:uid="{2BF8C8B5-54F1-4AD2-8CAC-93AFF4CEC8AA}">
      <text>
        <r>
          <rPr>
            <sz val="10"/>
            <color theme="1"/>
            <rFont val="Liberation Sans"/>
          </rPr>
          <t>11,31 % max</t>
        </r>
      </text>
    </comment>
    <comment ref="F82" authorId="1" shapeId="0" xr:uid="{56C651B8-BACC-421A-B89B-B5E57AFBE5A2}">
      <text>
        <r>
          <rPr>
            <b/>
            <sz val="9"/>
            <color indexed="81"/>
            <rFont val="Tahoma"/>
            <family val="2"/>
          </rPr>
          <t>38010-81-11:</t>
        </r>
        <r>
          <rPr>
            <sz val="9"/>
            <color indexed="81"/>
            <rFont val="Tahoma"/>
            <family val="2"/>
          </rPr>
          <t xml:space="preserve">
si reduction indiquer le montant en négatif</t>
        </r>
      </text>
    </comment>
    <comment ref="D90" authorId="0" shapeId="0" xr:uid="{030E2C1E-B610-458B-B6A0-8ACF79EE2E57}">
      <text>
        <r>
          <rPr>
            <sz val="10"/>
            <color theme="1"/>
            <rFont val="Liberation Sans"/>
          </rPr>
          <t>A partir du 01/01/2024, montant net social = salaire brut - cotisations salariales collectives + IJSS subrogées + indemnité de rupture + prime de partage de la valeur</t>
        </r>
      </text>
    </comment>
    <comment ref="A95" authorId="0" shapeId="0" xr:uid="{C706D5CF-C029-4DF2-B5AB-94279DF62A23}">
      <text>
        <r>
          <rPr>
            <sz val="10"/>
            <color theme="1"/>
            <rFont val="Liberation Sans"/>
          </rPr>
          <t>= IJSS brute x 0,933</t>
        </r>
      </text>
    </comment>
    <comment ref="A100" authorId="0" shapeId="0" xr:uid="{09FF828F-0F6F-4B60-BA1B-3993DCED768B}">
      <text>
        <r>
          <rPr>
            <sz val="10"/>
            <color theme="1"/>
            <rFont val="Liberation Sans"/>
          </rPr>
          <t>Base = salaire – cotis - PAS</t>
        </r>
      </text>
    </comment>
    <comment ref="A101" authorId="0" shapeId="0" xr:uid="{B0E8B5B1-4792-4D24-AF1B-06DEF124712F}">
      <text>
        <r>
          <rPr>
            <sz val="10"/>
            <color theme="1"/>
            <rFont val="Liberation Sans"/>
          </rPr>
          <t>Base = salaire – cotis - PAS
-son montant ne peut dépasser la rémunération
-</t>
        </r>
      </text>
    </comment>
    <comment ref="B109" authorId="0" shapeId="0" xr:uid="{A09D02F8-DB82-4AAF-86ED-7EB74C8E6D1D}">
      <text>
        <r>
          <rPr>
            <sz val="10"/>
            <color theme="1"/>
            <rFont val="Liberation Sans"/>
          </rPr>
          <t xml:space="preserve">Attention
*Enlever l'abattement de 725€ (en 2024) pour les CDD de - 2 mois seulement en cas de taux neutre
*Ajouter les IJJSS brutes subrogées*0,962 en cas de subrogation maladie (les 60 premiers jours calendaires d'arrêt)
*Ajouter les IJJSS brutes subrogées*0,962*50% en cas de subrogation AT/MP (non limité dans le temps)
*Ajouter la part patronale des Chèques vacances limitée à 30% du SMIC en vigueur
*Ajouter part patronale TR - part excédentaire déjà soumise à cotisations dans les cas où le régime fiscal ne suit pas le régime social (cas où la part patronale dépasse les 60%)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Guilvert Muriel</author>
  </authors>
  <commentList>
    <comment ref="D16" authorId="0" shapeId="0" xr:uid="{2E9A6EF5-10D2-4DFE-B366-47A0327DB406}">
      <text>
        <r>
          <rPr>
            <b/>
            <sz val="9"/>
            <color indexed="81"/>
            <rFont val="Tahoma"/>
            <family val="2"/>
          </rPr>
          <t>Indiquer le nombre d'heures réalisées du mois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6" authorId="0" shapeId="0" xr:uid="{174B814C-9906-4D2F-9939-718F7ED36669}">
      <text>
        <r>
          <rPr>
            <b/>
            <sz val="9"/>
            <color indexed="81"/>
            <rFont val="Tahoma"/>
            <family val="2"/>
          </rPr>
          <t>Renseigner le taux horaire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3" authorId="0" shapeId="0" xr:uid="{D22564F8-3028-47BB-ACFF-B40B52D31875}">
      <text>
        <r>
          <rPr>
            <b/>
            <sz val="9"/>
            <color indexed="81"/>
            <rFont val="Tahoma"/>
            <family val="2"/>
          </rPr>
          <t>A proratiser éventuellement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Montant à reporter dans le tableau de régularisation plafond</t>
        </r>
      </text>
    </comment>
    <comment ref="B27" authorId="0" shapeId="0" xr:uid="{F7BC2144-C995-447C-8CCB-9BA8634DB415}">
      <text>
        <r>
          <rPr>
            <b/>
            <sz val="9"/>
            <color indexed="81"/>
            <rFont val="Tahoma"/>
            <family val="2"/>
          </rPr>
          <t>Guilvert Muriel:</t>
        </r>
        <r>
          <rPr>
            <sz val="9"/>
            <color indexed="81"/>
            <rFont val="Tahoma"/>
            <family val="2"/>
          </rPr>
          <t xml:space="preserve">
Base = le montant qui dépasse la gratification minimale soit 4,35€ x nombre d'heures effectuées</t>
        </r>
      </text>
    </comment>
    <comment ref="E29" authorId="0" shapeId="0" xr:uid="{12ED5286-57DF-4C39-A74D-F8926C80BF89}">
      <text>
        <r>
          <rPr>
            <b/>
            <sz val="9"/>
            <color indexed="81"/>
            <rFont val="Tahoma"/>
            <family val="2"/>
          </rPr>
          <t>Le taux d'accident du travail est variable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9" authorId="0" shapeId="0" xr:uid="{DF8C5C86-A1DA-45F0-ACF5-042722DF2835}">
      <text>
        <r>
          <rPr>
            <b/>
            <sz val="9"/>
            <color indexed="81"/>
            <rFont val="Tahoma"/>
            <family val="2"/>
          </rPr>
          <t>Le taux de transport est variable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2" authorId="0" shapeId="0" xr:uid="{8F767604-B339-4D6C-AE97-CF87C300B93A}">
      <text>
        <r>
          <rPr>
            <b/>
            <sz val="9"/>
            <color indexed="81"/>
            <rFont val="Tahoma"/>
            <family val="2"/>
          </rPr>
          <t>0.55% (&lt;11 salariés)
1% (&gt;=11 salariés)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55" authorId="0" shapeId="0" xr:uid="{49B3AA7D-980B-4B14-8C0B-143F3BE9622F}">
      <text>
        <r>
          <rPr>
            <b/>
            <sz val="9"/>
            <color indexed="81"/>
            <rFont val="Tahoma"/>
            <family val="2"/>
          </rPr>
          <t>A partir du 01/01/2024, montant net social = salaire brut - cotisations salariales collectives + IJSS subrogées + indemnité de rupture + prime de partage de la valeur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9F2CC46C-8D8A-4962-9534-D48255895E45}">
      <text>
        <r>
          <rPr>
            <b/>
            <sz val="9"/>
            <color indexed="81"/>
            <rFont val="Tahoma"/>
            <family val="2"/>
          </rPr>
          <t>Attention
*Enlever l'abattement de 725€ (en 2024) pour les CDD de - 2 mois seulement en cas de taux neutre
*Ajouter les IJJSS brutes subrogées*0,962 en cas de subrogation maladie (les 60 premiers jours calendaires d'arrêt)
*Ajouter les IJJSS brutes subrogées*0,962*50% en cas de subrogation AT/MP (non limité dans le temps)
*Ajouter la part patronale des Chèques vacances supérieur au SMIC mensuel brut en vigueur
*Ajouter part patronale TR - part excédentaire déjà soumise à cotisations dans les cas où le régime fiscal ne suit pas le régime social (cas où la part patronale dépasse les 60%)</t>
        </r>
      </text>
    </comment>
    <comment ref="C73" authorId="0" shapeId="0" xr:uid="{186856D9-F016-4CC1-8178-467639E78EF4}">
      <text>
        <r>
          <rPr>
            <b/>
            <sz val="9"/>
            <color indexed="81"/>
            <rFont val="Tahoma"/>
            <family val="2"/>
          </rPr>
          <t>Taux neutre ou personnalisé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<sst xmlns="http://schemas.openxmlformats.org/spreadsheetml/2006/main" count="772" uniqueCount="310">
  <si>
    <t>Effectif</t>
  </si>
  <si>
    <t>SMIC en vigueur</t>
  </si>
  <si>
    <t>Totalité du salaire</t>
  </si>
  <si>
    <t>SMIC C</t>
  </si>
  <si>
    <t>1 ET 2 URSSAF</t>
  </si>
  <si>
    <t>T.A = jusqu’à 1 PMSS</t>
  </si>
  <si>
    <t>1,6 SMIC</t>
  </si>
  <si>
    <t>A ET B ARCO</t>
  </si>
  <si>
    <t>T.B = entre 1 et 4 fois le PMSS</t>
  </si>
  <si>
    <t>2,5 SMIC</t>
  </si>
  <si>
    <t>T.1 = jusqu’à 1 PMSS</t>
  </si>
  <si>
    <t>3,5 SMIC</t>
  </si>
  <si>
    <t>CALCUL SMIC C</t>
  </si>
  <si>
    <t>T.2 = jusqu’à 8 PMSS</t>
  </si>
  <si>
    <t>PMSS</t>
  </si>
  <si>
    <t>Tranche A max 4 PMSS</t>
  </si>
  <si>
    <t>PMSS x 4</t>
  </si>
  <si>
    <t>Taux smic</t>
  </si>
  <si>
    <t>Horaire contrat</t>
  </si>
  <si>
    <t>Salaire théorique</t>
  </si>
  <si>
    <t>Salaire perçue</t>
  </si>
  <si>
    <t>HS HC</t>
  </si>
  <si>
    <t>Tanche A max 1 PMSS</t>
  </si>
  <si>
    <t>PMSS x 8</t>
  </si>
  <si>
    <t>CET MIN 1 + 2 Max 8 PMSS</t>
  </si>
  <si>
    <t>Contrat</t>
  </si>
  <si>
    <t>CDI</t>
  </si>
  <si>
    <t>Total HS</t>
  </si>
  <si>
    <t>Salarié</t>
  </si>
  <si>
    <t>cadre</t>
  </si>
  <si>
    <t>Mois</t>
  </si>
  <si>
    <t>Jours Cal</t>
  </si>
  <si>
    <t>Nom :</t>
  </si>
  <si>
    <t>dates entrée</t>
  </si>
  <si>
    <t>date sortie</t>
  </si>
  <si>
    <t>Adresse</t>
  </si>
  <si>
    <t>Prénom :</t>
  </si>
  <si>
    <t>Jours travaillé</t>
  </si>
  <si>
    <t>Jours d'absence</t>
  </si>
  <si>
    <t>N.º SIRET</t>
  </si>
  <si>
    <t>Adresse :</t>
  </si>
  <si>
    <t>Heures contrat</t>
  </si>
  <si>
    <t>Heures complém</t>
  </si>
  <si>
    <t>Code APE</t>
  </si>
  <si>
    <t>N° Sécurité Sociale :</t>
  </si>
  <si>
    <t>Plafond en vigeur</t>
  </si>
  <si>
    <t>Prorat absence</t>
  </si>
  <si>
    <t>Prorat          mi-temps</t>
  </si>
  <si>
    <t>Double Prorat</t>
  </si>
  <si>
    <t>Convention collective</t>
  </si>
  <si>
    <t>Emploi :</t>
  </si>
  <si>
    <t>Embauche :</t>
  </si>
  <si>
    <t>Position :</t>
  </si>
  <si>
    <t>Date paiement salaire :</t>
  </si>
  <si>
    <t>A compléter</t>
  </si>
  <si>
    <t>Période du :</t>
  </si>
  <si>
    <t>Au:</t>
  </si>
  <si>
    <t>Eléménts de revenu brut</t>
  </si>
  <si>
    <t>Base</t>
  </si>
  <si>
    <t>Taux</t>
  </si>
  <si>
    <t>montant</t>
  </si>
  <si>
    <t>Salaire de base</t>
  </si>
  <si>
    <t>Ancienneté</t>
  </si>
  <si>
    <t>Absence</t>
  </si>
  <si>
    <t>HS à 10%</t>
  </si>
  <si>
    <t>HS à 25%</t>
  </si>
  <si>
    <t>HS à 50%</t>
  </si>
  <si>
    <t>IJSS brutes</t>
  </si>
  <si>
    <t>Garantie du net</t>
  </si>
  <si>
    <t>SALAIRE BRUT</t>
  </si>
  <si>
    <t>COTISATIONS ET CONTRIBUTIONS SOCIALES OBLIGATOIRES</t>
  </si>
  <si>
    <t>Salariales</t>
  </si>
  <si>
    <t>Patronales</t>
  </si>
  <si>
    <t>Montant</t>
  </si>
  <si>
    <t>Santé</t>
  </si>
  <si>
    <t>Sécurité Sociale - Maladie Maternité Invalidité Décès</t>
  </si>
  <si>
    <t>Sécurité Sociale - Maladie Maternité Invalidité Décès salaire &gt; 2,5 SMIC</t>
  </si>
  <si>
    <t>Sécurité Sociale - Maladie Maternité Invalidité Décès Régularisation</t>
  </si>
  <si>
    <t>Complémentaire santé</t>
  </si>
  <si>
    <t>Complémentaire Incapacité Invalidité Décès T1</t>
  </si>
  <si>
    <t>Accidents du travail-Maladies professionnelles</t>
  </si>
  <si>
    <t>Retraite</t>
  </si>
  <si>
    <t>Sécurité Sociale Vieillesse plafonnée</t>
  </si>
  <si>
    <t>Sécurité Sociale Vieillesse déplafonnée</t>
  </si>
  <si>
    <t>Retraite Complémentaire T1</t>
  </si>
  <si>
    <t>Retraite Complémentaire T2</t>
  </si>
  <si>
    <t>CEG T1</t>
  </si>
  <si>
    <t>CEG T2</t>
  </si>
  <si>
    <t>CET de 1 pss à 8 pss</t>
  </si>
  <si>
    <t>Famille</t>
  </si>
  <si>
    <t>Allocations familiales</t>
  </si>
  <si>
    <t>Allocations familiales si salaire &gt; 3,5 SMIC</t>
  </si>
  <si>
    <t>Allocation familiales régularisation</t>
  </si>
  <si>
    <t>Assurance chômage</t>
  </si>
  <si>
    <t>Cotisations chômage TA max 4 PMSS</t>
  </si>
  <si>
    <t>AGS</t>
  </si>
  <si>
    <t>APEC cadre</t>
  </si>
  <si>
    <t>Autres charges dues par l'employeur</t>
  </si>
  <si>
    <t>Versement mobilité (&gt;=11 salariés)</t>
  </si>
  <si>
    <t>Effort construction (&gt;50 salariés)</t>
  </si>
  <si>
    <t>Taxe d'apprentissage</t>
  </si>
  <si>
    <t>Formation professionnelle continue</t>
  </si>
  <si>
    <t>CPF-CDD (salarié en CDD)</t>
  </si>
  <si>
    <t>Contribution au dialogue social</t>
  </si>
  <si>
    <t>FNAL (&lt;50 salariés)</t>
  </si>
  <si>
    <t>FNAL (&gt;=50 salariés)</t>
  </si>
  <si>
    <t>Contribution Solidarité Autonomie</t>
  </si>
  <si>
    <t>Forfait social (&gt;=11 salariés)</t>
  </si>
  <si>
    <t>Contribution unique indemnité de rupture</t>
  </si>
  <si>
    <t>Cotisations statutaires ou prévues par la Convention Collective (ex BTP)</t>
  </si>
  <si>
    <t>pas vu</t>
  </si>
  <si>
    <t>CSG déductible de l'impôt sur le revenu</t>
  </si>
  <si>
    <t>CSG/CRDS non déductible de l'impôt sur le revenu</t>
  </si>
  <si>
    <t>CSG/CRDS sur les revenus non imposables (HS et HC non déductibles)</t>
  </si>
  <si>
    <t>CSG/CRDS sur les revenus non imposables</t>
  </si>
  <si>
    <t>TOTAL COTISATIONS ET CONTRIBUTIONS SOCIALES OBLIGATOIRES</t>
  </si>
  <si>
    <t>EXONÉRATIONS ET ALLÈGEMENTS DE COTISATIONS</t>
  </si>
  <si>
    <t>Exonération des cotisations salariales HS et HC</t>
  </si>
  <si>
    <t>Déduction des cotisations patronales HS (&lt;250 salariés)</t>
  </si>
  <si>
    <t>Réduction générale des cotisations</t>
  </si>
  <si>
    <t>COTISATIONS ET CONTRIBUTIONS SOCIALES FACULTATIVES</t>
  </si>
  <si>
    <t>Complémentaire Incapacité Invalidité Décès (T1)</t>
  </si>
  <si>
    <t>Complémentaire Incapacité Invalidité Décès (T2) ??</t>
  </si>
  <si>
    <t>Complémentaire maintien de salaire</t>
  </si>
  <si>
    <t>Retraite supplémentaire</t>
  </si>
  <si>
    <t>MONTANT NET SOCIAL</t>
  </si>
  <si>
    <t>REMBOURSEMENT ET DEDUCTIONS DIVERSES</t>
  </si>
  <si>
    <t>Remboursement Frais de transport</t>
  </si>
  <si>
    <t>Remboursement allocations forfaitaires</t>
  </si>
  <si>
    <t>Rembousement IJSS nettes (subrogées)</t>
  </si>
  <si>
    <t>Retenue Titres-restaurant (part salariale)</t>
  </si>
  <si>
    <t>Retenue T.R exces</t>
  </si>
  <si>
    <t>Retenue Chèques vacances (part salariale)</t>
  </si>
  <si>
    <t>Saisie-arrêt</t>
  </si>
  <si>
    <t>Avance</t>
  </si>
  <si>
    <t>Acompte</t>
  </si>
  <si>
    <t>remboursement repas</t>
  </si>
  <si>
    <t>MONTANT NET À PAYER AVANT IMPÔT SUR LE REVENU</t>
  </si>
  <si>
    <t>IMPÔT SUR LE REVENU</t>
  </si>
  <si>
    <t>Cumul annuel</t>
  </si>
  <si>
    <t>Montant net imposable</t>
  </si>
  <si>
    <t>Montant net des HC/HS/RTT exonérées</t>
  </si>
  <si>
    <t>IMPÔT SUR LE REVENU PRELEVE A LA SOURCE</t>
  </si>
  <si>
    <t>Montant de l'impôt sur le revenu prélevé à la source</t>
  </si>
  <si>
    <t>MONTANT NET A PAYER (en euros)</t>
  </si>
  <si>
    <t>TOTAL VERSE PAR L'EMPLOYEUR</t>
  </si>
  <si>
    <t>REGULARISATION REDUCTION GENERALE DES COTISATIONS</t>
  </si>
  <si>
    <t>Nombre de salariés</t>
  </si>
  <si>
    <t>Valeur T entreprise de moins 50 salariés</t>
  </si>
  <si>
    <t>Valeur T entreprise de 50 salariés et plus</t>
  </si>
  <si>
    <t>Régularisation annuelle</t>
  </si>
  <si>
    <t>Valeur du SMIC</t>
  </si>
  <si>
    <t>MOIS</t>
  </si>
  <si>
    <t>SALAIRES brut</t>
  </si>
  <si>
    <t>SMIC corrigé à retenir pour C</t>
  </si>
  <si>
    <t>Rémunération mensuelle brute</t>
  </si>
  <si>
    <t>C=coefficient</t>
  </si>
  <si>
    <t>Valeur T</t>
  </si>
  <si>
    <t>Régularisation annuelle de la réduction</t>
  </si>
  <si>
    <t>Cumulés</t>
  </si>
  <si>
    <t>Cumulées</t>
  </si>
  <si>
    <t>Cumulée</t>
  </si>
  <si>
    <t>Du mois</t>
  </si>
  <si>
    <t>coef annuel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</si>
  <si>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</si>
  <si>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</si>
  <si>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</si>
  <si>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</si>
  <si>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</si>
  <si>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</si>
  <si>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</si>
  <si>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</si>
  <si>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</si>
  <si>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</si>
  <si>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</si>
  <si>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</si>
  <si>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TOTAUX</t>
  </si>
  <si>
    <t>Régularisation  coef annuelle</t>
  </si>
  <si>
    <t>Si positif A déduire en - à l'URSSAF des charges patronales</t>
  </si>
  <si>
    <t>Si négatif A reverser en + à l'URSSAF des charges patronales</t>
  </si>
  <si>
    <t>Régularisation mensuelle progressive</t>
  </si>
  <si>
    <t>SALAIRES</t>
  </si>
  <si>
    <t>Rémunération brute</t>
  </si>
  <si>
    <t>REGULARISATION ALLOCATIONS FAMILIALES</t>
  </si>
  <si>
    <t>Allocations familiales (régul mensuelle progressive)</t>
  </si>
  <si>
    <t>Allocations familiales (régul annuelle)</t>
  </si>
  <si>
    <t>Salaire mois</t>
  </si>
  <si>
    <t>Salaire cumul</t>
  </si>
  <si>
    <t>SMIC RGC mois</t>
  </si>
  <si>
    <t>SMIC RGC cumul</t>
  </si>
  <si>
    <t>3,5xSMIC mois</t>
  </si>
  <si>
    <t>3,5xSMIC cumul</t>
  </si>
  <si>
    <t>Montant mois</t>
  </si>
  <si>
    <t>Valeur du SMIC au 31/12/2023</t>
  </si>
  <si>
    <t>Montant total base + cotisation</t>
  </si>
  <si>
    <t>Sur la paye de décembre ou du dernier mois du contrat</t>
  </si>
  <si>
    <t>Régularisation annuelle à 3,45% =</t>
  </si>
  <si>
    <t>Régul annuelle à 1,80% =</t>
  </si>
  <si>
    <t>Les lignes en bleus indiquent une régularisation de la cotisation AF à reporter sur le bulletin de salaire</t>
  </si>
  <si>
    <t>REGULARISATION ASSURANCE MALADIE</t>
  </si>
  <si>
    <t>Maladie (régul mensuelle progressive)</t>
  </si>
  <si>
    <t>Maladie (régul annuelle)</t>
  </si>
  <si>
    <t>2,5xSMIC mois</t>
  </si>
  <si>
    <t>2,5xSMIC cumul</t>
  </si>
  <si>
    <t>MALADIE à 7%</t>
  </si>
  <si>
    <t>MALADIE à 6 %</t>
  </si>
  <si>
    <t>Régul annuelle à 7% =</t>
  </si>
  <si>
    <t>Régul annuelle à 6% =</t>
  </si>
  <si>
    <t>Les lignes en bleus indiquent une régularisation de la cotisation maladie  à reporter sur le bulletin de salaire</t>
  </si>
  <si>
    <t>Bruts</t>
  </si>
  <si>
    <t>Plafonds</t>
  </si>
  <si>
    <t>Tranche 1</t>
  </si>
  <si>
    <t>Tranche 2</t>
  </si>
  <si>
    <t>Tranche A</t>
  </si>
  <si>
    <t>Tranche B</t>
  </si>
  <si>
    <t>PMSS 2024</t>
  </si>
  <si>
    <t>Mensuels</t>
  </si>
  <si>
    <t>3 PMSS 2024</t>
  </si>
  <si>
    <t>4 PMSS 2024</t>
  </si>
  <si>
    <t>7 PMSS 2024</t>
  </si>
  <si>
    <t>8 PMSS 2024</t>
  </si>
  <si>
    <t>Totaux</t>
  </si>
  <si>
    <t>Base CET T1</t>
  </si>
  <si>
    <t>Base CET T2</t>
  </si>
  <si>
    <t>Assiette CET</t>
  </si>
  <si>
    <t>CET 1+ 2</t>
  </si>
  <si>
    <t>BULLETIN DE SALAIRE</t>
  </si>
  <si>
    <t>Gérant</t>
  </si>
  <si>
    <t>SMIC FILLON</t>
  </si>
  <si>
    <t>Employeur</t>
  </si>
  <si>
    <t>N° SIRET :</t>
  </si>
  <si>
    <t>Code APE :</t>
  </si>
  <si>
    <t>Convention collective :</t>
  </si>
  <si>
    <t>Contrat :</t>
  </si>
  <si>
    <t>Statut :</t>
  </si>
  <si>
    <t>A renseigner</t>
  </si>
  <si>
    <t>Coefficient :</t>
  </si>
  <si>
    <t>Départ :</t>
  </si>
  <si>
    <t xml:space="preserve">Période du :                                         </t>
  </si>
  <si>
    <t>Au :</t>
  </si>
  <si>
    <t>Eléments de revenu brut</t>
  </si>
  <si>
    <t>Quantité ou base</t>
  </si>
  <si>
    <t>T.A max 4 PMSS</t>
  </si>
  <si>
    <t>T.2 max 8 PMSS</t>
  </si>
  <si>
    <t>Absences</t>
  </si>
  <si>
    <t>A.N = sur rémunérations contractuelle pas statutaire</t>
  </si>
  <si>
    <t>Remboursement forfaitaire des frais pro sans cumul = pas exonérée de cotisations</t>
  </si>
  <si>
    <t>Remboursement forfaitaire des frais pro avec cumul si couverture unedic</t>
  </si>
  <si>
    <t>PLAFOND MENSUEL SECURITE SOCIALE :</t>
  </si>
  <si>
    <t>SALAIRE BRUT :</t>
  </si>
  <si>
    <t>DFS (déductions forfaitaire spécifique) uniquement sur rémunération contractuelle</t>
  </si>
  <si>
    <t>Complémentaire Incapacité Invalidité Décès (T1) (minimum obligatoire)</t>
  </si>
  <si>
    <t>Retraite Complémentaire, CEG T1</t>
  </si>
  <si>
    <t>Retraite Complémentaire, CEG T2</t>
  </si>
  <si>
    <t>CET T1 + T2</t>
  </si>
  <si>
    <t>APEC</t>
  </si>
  <si>
    <t>Complémentaire Incapacité Invalidité Décès (T2)</t>
  </si>
  <si>
    <t>REMBOURSEMENTS ET DEDUCTIONS DIVERSES</t>
  </si>
  <si>
    <t>Retenue Avantage en nature</t>
  </si>
  <si>
    <t>Congés Payés Période N-1                                      Congés Payés Période N</t>
  </si>
  <si>
    <t>Dûs :                                                                                  Dûs :</t>
  </si>
  <si>
    <t>Pris :                                                                                  Pris :</t>
  </si>
  <si>
    <t>Solde :                                                                              Solde :</t>
  </si>
  <si>
    <t>Dans votre intérêt et pour vous aider à faire valoir vos droits, conserver ce bulletin de paie sans limitation de durée</t>
  </si>
  <si>
    <t>ICCP</t>
  </si>
  <si>
    <t xml:space="preserve">Maintien </t>
  </si>
  <si>
    <t>Complémentaire maintien de salaire T1</t>
  </si>
  <si>
    <t>Complémentaire maintien de salaire T2</t>
  </si>
  <si>
    <t> d’apprentissage</t>
  </si>
  <si>
    <t>Avant 18 ans </t>
  </si>
  <si>
    <r>
      <t>18 ans à – de 21 ans</t>
    </r>
    <r>
      <rPr>
        <sz val="12"/>
        <color rgb="FF444444"/>
        <rFont val="Poppins"/>
      </rPr>
      <t> </t>
    </r>
  </si>
  <si>
    <r>
      <t>21 ans à – 26 ans</t>
    </r>
    <r>
      <rPr>
        <sz val="12"/>
        <color rgb="FF444444"/>
        <rFont val="Poppins"/>
      </rPr>
      <t> </t>
    </r>
  </si>
  <si>
    <t>26 ans et + </t>
  </si>
  <si>
    <t>nc</t>
  </si>
  <si>
    <t>1ère année</t>
  </si>
  <si>
    <t>53%* 936,47 euros</t>
  </si>
  <si>
    <t>100%*</t>
  </si>
  <si>
    <t xml:space="preserve">79 % du SMIC </t>
  </si>
  <si>
    <t>477,07 euros</t>
  </si>
  <si>
    <t>759,78 euros</t>
  </si>
  <si>
    <t>1 766,92 euros</t>
  </si>
  <si>
    <t>Assiette exonérée</t>
  </si>
  <si>
    <t>2ème année </t>
  </si>
  <si>
    <t>39% 689,10 euros</t>
  </si>
  <si>
    <t>61%*</t>
  </si>
  <si>
    <t>901,13 euros</t>
  </si>
  <si>
    <t>1 077,82 euros</t>
  </si>
  <si>
    <t>3ème année </t>
  </si>
  <si>
    <t>55% 971,81 euros</t>
  </si>
  <si>
    <t>78%*</t>
  </si>
  <si>
    <t>1 183,84euros</t>
  </si>
  <si>
    <t>1 378,20 euros</t>
  </si>
  <si>
    <t>Maintien</t>
  </si>
  <si>
    <t>Prime</t>
  </si>
  <si>
    <t>Calcul Proratisation PMSS</t>
  </si>
  <si>
    <t>IJSS brute =</t>
  </si>
  <si>
    <t>IJSS net * 0,933</t>
  </si>
  <si>
    <t xml:space="preserve">Nom : </t>
  </si>
  <si>
    <t xml:space="preserve">Adresse : </t>
  </si>
  <si>
    <t xml:space="preserve">Convention collective : </t>
  </si>
  <si>
    <t xml:space="preserve">Position : </t>
  </si>
  <si>
    <t xml:space="preserve">Au : </t>
  </si>
  <si>
    <t xml:space="preserve">Indemnité de stage </t>
  </si>
  <si>
    <t>Gratification minimale</t>
  </si>
  <si>
    <t xml:space="preserve">PLAFOND MENSUEL SECURITE SOCIALE : </t>
  </si>
  <si>
    <t xml:space="preserve">Allocations familiales </t>
  </si>
  <si>
    <t xml:space="preserve">Dûs :                                                                                  Dûs : </t>
  </si>
  <si>
    <t>Candidat n°14</t>
  </si>
  <si>
    <t>Candidat 14</t>
  </si>
  <si>
    <t>candidat n°14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</si>
</sst>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164" formatCode="#,##0.00&quot; &quot;[$€-40C];[Red]&quot;-&quot;#,##0.00&quot; &quot;[$€-40C]"/>
    <numFmt numFmtId="165" formatCode="&quot; &quot;#,##0.00&quot; € &quot;;&quot;-&quot;#,##0.00&quot; € &quot;;&quot;-&quot;00&quot; € &quot;;&quot; &quot;@&quot; &quot;"/>
    <numFmt numFmtId="166" formatCode="d/m/yy"/>
    <numFmt numFmtId="167" formatCode="#,##0.00&quot; &quot;[$€-40C];[Red]#,##0.00&quot; &quot;[$€-40C]"/>
    <numFmt numFmtId="168" formatCode="#,##0.00;[Red]&quot;-&quot;#,##0.00"/>
    <numFmt numFmtId="169" formatCode="#,##0.00&quot; &quot;;[Red]&quot;-&quot;#,##0.00&quot; &quot;"/>
    <numFmt numFmtId="170" formatCode="0.0000&quot; &quot;%"/>
    <numFmt numFmtId="171" formatCode="0&quot; &quot;%"/>
    <numFmt numFmtId="172" formatCode="0.0000%"/>
    <numFmt numFmtId="173" formatCode="#,##0.00&quot; €&quot;"/>
    <numFmt numFmtId="174" formatCode="0.00&quot; &quot;%"/>
    <numFmt numFmtId="175" formatCode="#,##0.00&quot; &quot;[$€-C0A];[Red]&quot;-&quot;#,##0.00&quot; &quot;[$€-C0A]"/>
    <numFmt numFmtId="176" formatCode="0.0000"/>
    <numFmt numFmtId="177" formatCode="0.00&quot; &quot;%"/>
    <numFmt numFmtId="178" formatCode="&quot; &quot;#,##0.00&quot;    &quot;;&quot;-&quot;#,##0.00&quot;    &quot;;&quot; &quot;&quot;-&quot;00&quot;    &quot;;&quot; &quot;@&quot; &quot;"/>
    <numFmt numFmtId="179" formatCode="0.0%"/>
    <numFmt numFmtId="180" formatCode="0.000%"/>
    <numFmt numFmtId="181" formatCode="#,##0.00;[Red]#,##0.00"/>
    <numFmt numFmtId="182" formatCode="#,##0.0000;[Red]#,##0.0000"/>
    <numFmt numFmtId="183" formatCode="#,##0.00_ ;[Red]\-#,##0.00\ "/>
    <numFmt numFmtId="184" formatCode="#,##0.00\ [$€-40C];[Red]#,##0.00\ [$€-40C]"/>
    <numFmt numFmtId="185" formatCode="&quot; &quot;#,##0.00&quot; € &quot;;&quot;-&quot;#,##0.00&quot; € &quot;;&quot; &quot;&quot;-&quot;00&quot; € &quot;;&quot; &quot;@&quot; &quot;"/>
    <numFmt numFmtId="186" formatCode="_-* #,##0.00\ _€_-;\-* #,##0.00\ _€_-;_-* &quot;-&quot;??\ _€_-;_-@_-"/>
  </numFmts>
  <fonts count="47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sz val="11"/>
      <color rgb="FF000000"/>
      <name val="Liberation Sans1"/>
    </font>
    <font>
      <b/>
      <sz val="11"/>
      <color rgb="FF000000"/>
      <name val="Arial Narrow"/>
      <family val="2"/>
    </font>
    <font>
      <sz val="11"/>
      <color rgb="FF000000"/>
      <name val="Calibri11"/>
    </font>
    <font>
      <sz val="11"/>
      <color rgb="FF000000"/>
      <name val="Calibri1"/>
    </font>
    <font>
      <sz val="11"/>
      <color rgb="FF000000"/>
      <name val="Liberation Sans11"/>
    </font>
    <font>
      <sz val="11"/>
      <color rgb="FF000000"/>
      <name val="Agency FB"/>
      <family val="2"/>
    </font>
    <font>
      <b/>
      <sz val="11"/>
      <color rgb="FF000000"/>
      <name val="Calibri"/>
      <family val="2"/>
    </font>
    <font>
      <b/>
      <sz val="11"/>
      <color rgb="FF000000"/>
      <name val="Agency FB"/>
      <family val="2"/>
    </font>
    <font>
      <b/>
      <sz val="12"/>
      <color rgb="FF000000"/>
      <name val="Arial Narrow"/>
      <family val="2"/>
    </font>
    <font>
      <sz val="10"/>
      <color rgb="FF000000"/>
      <name val="Liberation Sans"/>
    </font>
    <font>
      <b/>
      <sz val="9"/>
      <color rgb="FF000000"/>
      <name val="Liberation Sans"/>
    </font>
    <font>
      <sz val="9"/>
      <color rgb="FF000000"/>
      <name val="Liberation Sans"/>
    </font>
    <font>
      <b/>
      <u/>
      <sz val="11"/>
      <color rgb="FF000000"/>
      <name val="Calibri"/>
      <family val="2"/>
    </font>
    <font>
      <sz val="14"/>
      <color rgb="FF000000"/>
      <name val="Calibri"/>
      <family val="2"/>
    </font>
    <font>
      <b/>
      <sz val="10"/>
      <color rgb="FF000000"/>
      <name val="Calibri"/>
      <family val="2"/>
    </font>
    <font>
      <sz val="12"/>
      <color rgb="FF000000"/>
      <name val="Times"/>
      <family val="1"/>
    </font>
    <font>
      <sz val="10"/>
      <color rgb="FF000000"/>
      <name val="Times New Roman"/>
      <family val="1"/>
    </font>
    <font>
      <sz val="11"/>
      <color rgb="FF000000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FF0000"/>
      <name val="Calibri"/>
      <family val="2"/>
    </font>
    <font>
      <sz val="12"/>
      <color rgb="FF000000"/>
      <name val="Times New Roman"/>
      <family val="1"/>
    </font>
    <font>
      <i/>
      <sz val="11"/>
      <color rgb="FF000000"/>
      <name val="Calibri"/>
      <family val="2"/>
    </font>
    <font>
      <b/>
      <sz val="11"/>
      <color rgb="FFFF0000"/>
      <name val="Calibri"/>
      <family val="2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ans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ptos Narrow"/>
      <family val="2"/>
      <scheme val="minor"/>
    </font>
    <font>
      <sz val="9"/>
      <color indexed="81"/>
      <name val="Tahoma"/>
      <charset val="1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rgb="FF000000"/>
      <name val="Liberation Sans1"/>
    </font>
    <font>
      <b/>
      <sz val="12"/>
      <color rgb="FF444444"/>
      <name val="Poppins"/>
    </font>
    <font>
      <sz val="12"/>
      <color rgb="FF444444"/>
      <name val="Poppins"/>
    </font>
    <font>
      <b/>
      <sz val="14"/>
      <color rgb="FFF200F2"/>
      <name val="Agency FB"/>
      <family val="2"/>
    </font>
    <font>
      <b/>
      <sz val="14"/>
      <color theme="1"/>
      <name val="Aptos Narrow"/>
      <family val="2"/>
      <scheme val="minor"/>
    </font>
    <font>
      <sz val="10"/>
      <name val="Arial"/>
      <family val="2"/>
    </font>
    <font>
      <sz val="11"/>
      <name val="Aptos Narrow"/>
      <family val="2"/>
      <scheme val="minor"/>
    </font>
    <font>
      <b/>
      <sz val="20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E0E0E0"/>
        <bgColor rgb="FFE0E0E0"/>
      </patternFill>
    </fill>
    <fill>
      <patternFill patternType="solid">
        <fgColor rgb="FFFFFF00"/>
        <bgColor rgb="FFFFFF00"/>
      </patternFill>
    </fill>
    <fill>
      <patternFill patternType="solid">
        <fgColor rgb="FFFFFFA6"/>
        <bgColor rgb="FFFFFFA6"/>
      </patternFill>
    </fill>
    <fill>
      <patternFill patternType="solid">
        <fgColor rgb="FFFFFFFF"/>
        <bgColor rgb="FFFFFFFF"/>
      </patternFill>
    </fill>
    <fill>
      <patternFill patternType="solid">
        <fgColor rgb="FFF5F5F5"/>
        <bgColor rgb="FFF5F5F5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E7E6E6"/>
        <bgColor rgb="FFE7E6E6"/>
      </patternFill>
    </fill>
    <fill>
      <patternFill patternType="solid">
        <fgColor rgb="FFBFBFBF"/>
        <bgColor rgb="FFBFBFBF"/>
      </patternFill>
    </fill>
    <fill>
      <patternFill patternType="solid">
        <fgColor rgb="FFFF81C0"/>
        <bgColor rgb="FFFF81C0"/>
      </patternFill>
    </fill>
    <fill>
      <patternFill patternType="solid">
        <fgColor rgb="FFEEEEEE"/>
        <bgColor rgb="FFEEEEEE"/>
      </patternFill>
    </fill>
    <fill>
      <patternFill patternType="solid">
        <fgColor rgb="FFC5CAE9"/>
        <bgColor rgb="FFC5CAE9"/>
      </patternFill>
    </fill>
    <fill>
      <patternFill patternType="solid">
        <fgColor rgb="FFE5E4DE"/>
        <bgColor rgb="FFE5E4DE"/>
      </patternFill>
    </fill>
    <fill>
      <patternFill patternType="solid">
        <fgColor rgb="FFABABAB"/>
        <bgColor rgb="FFABABAB"/>
      </patternFill>
    </fill>
    <fill>
      <patternFill patternType="solid">
        <fgColor rgb="FFFFEBEE"/>
        <bgColor rgb="FFFFEBEE"/>
      </patternFill>
    </fill>
    <fill>
      <patternFill patternType="solid">
        <fgColor rgb="FFBDBDBD"/>
        <bgColor rgb="FFBDBDBD"/>
      </patternFill>
    </fill>
    <fill>
      <patternFill patternType="solid">
        <fgColor rgb="FFD6DCE5"/>
        <bgColor rgb="FFD6DCE5"/>
      </patternFill>
    </fill>
    <fill>
      <patternFill patternType="solid">
        <fgColor rgb="FFFFE699"/>
        <bgColor rgb="FFFFE699"/>
      </patternFill>
    </fill>
    <fill>
      <patternFill patternType="solid">
        <fgColor rgb="FF9DC3E6"/>
        <bgColor rgb="FF9DC3E6"/>
      </patternFill>
    </fill>
    <fill>
      <patternFill patternType="solid">
        <fgColor rgb="FFFFFF99"/>
        <bgColor rgb="FFFFFF99"/>
      </patternFill>
    </fill>
    <fill>
      <patternFill patternType="solid">
        <fgColor rgb="FFC5E0B4"/>
        <bgColor rgb="FFC5E0B4"/>
      </patternFill>
    </fill>
    <fill>
      <patternFill patternType="solid">
        <fgColor rgb="FFE2F0D9"/>
        <bgColor rgb="FFE2F0D9"/>
      </patternFill>
    </fill>
    <fill>
      <patternFill patternType="solid">
        <fgColor rgb="FFDAE3F3"/>
        <bgColor rgb="FFDAE3F3"/>
      </patternFill>
    </fill>
    <fill>
      <patternFill patternType="solid">
        <fgColor rgb="FFA9D18E"/>
        <bgColor rgb="FFA9D18E"/>
      </patternFill>
    </fill>
    <fill>
      <patternFill patternType="solid">
        <fgColor rgb="FFFBE5D6"/>
        <bgColor rgb="FFFBE5D6"/>
      </patternFill>
    </fill>
    <fill>
      <patternFill patternType="solid">
        <fgColor rgb="FFFFF2CC"/>
        <bgColor rgb="FFFFF2CC"/>
      </patternFill>
    </fill>
    <fill>
      <patternFill patternType="solid">
        <fgColor rgb="FF99CCFF"/>
        <bgColor rgb="FF99CCFF"/>
      </patternFill>
    </fill>
    <fill>
      <patternFill patternType="solid">
        <fgColor rgb="FFFFFFCC"/>
        <bgColor rgb="FFFFFFCC"/>
      </patternFill>
    </fill>
    <fill>
      <patternFill patternType="solid">
        <fgColor rgb="FF808080"/>
        <bgColor rgb="FF808080"/>
      </patternFill>
    </fill>
    <fill>
      <patternFill patternType="solid">
        <fgColor rgb="FFFFFFFF"/>
        <bgColor indexed="64"/>
      </patternFill>
    </fill>
    <fill>
      <patternFill patternType="solid">
        <fgColor rgb="FFE6CDFF"/>
        <bgColor rgb="FFE6CD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6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E6E6E6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7">
    <xf numFmtId="0" fontId="0" fillId="0" borderId="0"/>
    <xf numFmtId="0" fontId="1" fillId="0" borderId="0" applyNumberFormat="0" applyFill="0" applyBorder="0" applyProtection="0"/>
    <xf numFmtId="0" fontId="3" fillId="0" borderId="0" applyNumberFormat="0" applyBorder="0" applyProtection="0"/>
    <xf numFmtId="165" fontId="1" fillId="0" borderId="0" applyFill="0" applyBorder="0" applyProtection="0"/>
    <xf numFmtId="0" fontId="1" fillId="0" borderId="0"/>
    <xf numFmtId="0" fontId="7" fillId="0" borderId="0" applyNumberFormat="0" applyBorder="0" applyProtection="0"/>
    <xf numFmtId="171" fontId="1" fillId="0" borderId="0" applyFill="0" applyBorder="0" applyProtection="0"/>
    <xf numFmtId="165" fontId="1" fillId="0" borderId="0" applyFill="0" applyBorder="0" applyProtection="0"/>
    <xf numFmtId="0" fontId="1" fillId="0" borderId="0" applyNumberFormat="0" applyBorder="0" applyProtection="0"/>
    <xf numFmtId="0" fontId="1" fillId="0" borderId="0"/>
    <xf numFmtId="0" fontId="18" fillId="0" borderId="0" applyNumberFormat="0" applyBorder="0" applyProtection="0"/>
    <xf numFmtId="0" fontId="24" fillId="0" borderId="0" applyNumberFormat="0" applyBorder="0" applyProtection="0"/>
    <xf numFmtId="0" fontId="1" fillId="0" borderId="0"/>
    <xf numFmtId="0" fontId="18" fillId="0" borderId="0" applyNumberFormat="0" applyBorder="0" applyProtection="0"/>
    <xf numFmtId="0" fontId="1" fillId="0" borderId="0"/>
    <xf numFmtId="0" fontId="27" fillId="0" borderId="0" applyNumberFormat="0" applyBorder="0" applyProtection="0"/>
    <xf numFmtId="0" fontId="1" fillId="0" borderId="0"/>
    <xf numFmtId="0" fontId="29" fillId="0" borderId="0"/>
    <xf numFmtId="178" fontId="29" fillId="0" borderId="0"/>
    <xf numFmtId="0" fontId="30" fillId="0" borderId="0"/>
    <xf numFmtId="171" fontId="29" fillId="0" borderId="0"/>
    <xf numFmtId="9" fontId="36" fillId="0" borderId="0" applyFont="0" applyFill="0" applyBorder="0" applyAlignment="0" applyProtection="0"/>
    <xf numFmtId="0" fontId="1" fillId="0" borderId="0" applyNumberFormat="0" applyFill="0" applyBorder="0" applyAlignment="0" applyProtection="0"/>
    <xf numFmtId="0" fontId="29" fillId="0" borderId="0"/>
    <xf numFmtId="0" fontId="39" fillId="0" borderId="0" applyNumberFormat="0"/>
    <xf numFmtId="186" fontId="36" fillId="0" borderId="0" applyFont="0" applyFill="0" applyBorder="0" applyAlignment="0" applyProtection="0"/>
    <xf numFmtId="0" fontId="44" fillId="0" borderId="0"/>
  </cellStyleXfs>
  <cellXfs count="615">
    <xf numFmtId="0" fontId="0" fillId="0" borderId="0" xfId="0"/>
    <xf numFmtId="0" fontId="2" fillId="2" borderId="1" xfId="1" applyFont="1" applyFill="1" applyBorder="1" applyAlignment="1">
      <alignment horizontal="right" vertical="center"/>
    </xf>
    <xf numFmtId="0" fontId="2" fillId="3" borderId="1" xfId="1" applyFont="1" applyFill="1" applyBorder="1" applyAlignment="1">
      <alignment horizontal="left" vertical="center"/>
    </xf>
    <xf numFmtId="0" fontId="2" fillId="0" borderId="0" xfId="1" applyFont="1" applyFill="1" applyAlignment="1">
      <alignment horizontal="left" vertical="center"/>
    </xf>
    <xf numFmtId="164" fontId="2" fillId="4" borderId="1" xfId="1" applyNumberFormat="1" applyFont="1" applyFill="1" applyBorder="1"/>
    <xf numFmtId="0" fontId="0" fillId="0" borderId="0" xfId="1" applyFont="1" applyFill="1"/>
    <xf numFmtId="0" fontId="3" fillId="0" borderId="0" xfId="2" applyProtection="1"/>
    <xf numFmtId="164" fontId="2" fillId="0" borderId="1" xfId="1" applyNumberFormat="1" applyFont="1" applyFill="1" applyBorder="1" applyAlignment="1">
      <alignment horizontal="right" vertical="center"/>
    </xf>
    <xf numFmtId="165" fontId="4" fillId="5" borderId="1" xfId="3" applyFont="1" applyFill="1" applyBorder="1"/>
    <xf numFmtId="165" fontId="0" fillId="6" borderId="0" xfId="1" applyNumberFormat="1" applyFont="1" applyFill="1"/>
    <xf numFmtId="164" fontId="2" fillId="7" borderId="1" xfId="1" applyNumberFormat="1" applyFont="1" applyFill="1" applyBorder="1" applyAlignment="1">
      <alignment horizontal="right" vertical="center"/>
    </xf>
    <xf numFmtId="165" fontId="2" fillId="7" borderId="1" xfId="3" applyFont="1" applyFill="1" applyBorder="1"/>
    <xf numFmtId="165" fontId="2" fillId="7" borderId="1" xfId="1" applyNumberFormat="1" applyFont="1" applyFill="1" applyBorder="1" applyAlignment="1">
      <alignment horizontal="right" vertical="center"/>
    </xf>
    <xf numFmtId="165" fontId="4" fillId="7" borderId="1" xfId="3" applyFont="1" applyFill="1" applyBorder="1"/>
    <xf numFmtId="0" fontId="6" fillId="0" borderId="0" xfId="1" applyFont="1" applyFill="1"/>
    <xf numFmtId="0" fontId="1" fillId="0" borderId="0" xfId="4"/>
    <xf numFmtId="0" fontId="2" fillId="2" borderId="1" xfId="1" applyFont="1" applyFill="1" applyBorder="1" applyAlignment="1">
      <alignment horizontal="right"/>
    </xf>
    <xf numFmtId="164" fontId="2" fillId="7" borderId="1" xfId="1" applyNumberFormat="1" applyFont="1" applyFill="1" applyBorder="1"/>
    <xf numFmtId="0" fontId="2" fillId="3" borderId="1" xfId="1" applyFont="1" applyFill="1" applyBorder="1"/>
    <xf numFmtId="0" fontId="7" fillId="0" borderId="1" xfId="5" applyBorder="1" applyProtection="1"/>
    <xf numFmtId="0" fontId="7" fillId="3" borderId="1" xfId="5" applyFill="1" applyBorder="1" applyProtection="1"/>
    <xf numFmtId="0" fontId="0" fillId="3" borderId="1" xfId="1" applyFont="1" applyFill="1" applyBorder="1"/>
    <xf numFmtId="2" fontId="0" fillId="0" borderId="1" xfId="1" applyNumberFormat="1" applyFont="1" applyFill="1" applyBorder="1"/>
    <xf numFmtId="165" fontId="2" fillId="7" borderId="1" xfId="1" applyNumberFormat="1" applyFont="1" applyFill="1" applyBorder="1"/>
    <xf numFmtId="164" fontId="0" fillId="0" borderId="0" xfId="1" applyNumberFormat="1" applyFont="1" applyFill="1"/>
    <xf numFmtId="0" fontId="7" fillId="0" borderId="0" xfId="5" applyProtection="1"/>
    <xf numFmtId="0" fontId="2" fillId="0" borderId="0" xfId="1" applyFont="1" applyFill="1" applyAlignment="1">
      <alignment horizontal="right"/>
    </xf>
    <xf numFmtId="164" fontId="2" fillId="0" borderId="0" xfId="1" applyNumberFormat="1" applyFont="1" applyFill="1"/>
    <xf numFmtId="0" fontId="8" fillId="9" borderId="1" xfId="1" applyFont="1" applyFill="1" applyBorder="1" applyAlignment="1">
      <alignment vertical="center"/>
    </xf>
    <xf numFmtId="166" fontId="8" fillId="3" borderId="1" xfId="1" applyNumberFormat="1" applyFont="1" applyFill="1" applyBorder="1" applyAlignment="1">
      <alignment vertical="center"/>
    </xf>
    <xf numFmtId="0" fontId="8" fillId="5" borderId="1" xfId="1" applyFont="1" applyFill="1" applyBorder="1" applyAlignment="1">
      <alignment vertical="center"/>
    </xf>
    <xf numFmtId="0" fontId="8" fillId="0" borderId="0" xfId="1" applyFont="1" applyFill="1"/>
    <xf numFmtId="0" fontId="2" fillId="0" borderId="1" xfId="1" applyFont="1" applyFill="1" applyBorder="1" applyAlignment="1">
      <alignment horizontal="left"/>
    </xf>
    <xf numFmtId="0" fontId="8" fillId="9" borderId="1" xfId="1" applyFont="1" applyFill="1" applyBorder="1" applyAlignment="1">
      <alignment vertical="center" wrapText="1"/>
    </xf>
    <xf numFmtId="1" fontId="8" fillId="5" borderId="1" xfId="1" applyNumberFormat="1" applyFont="1" applyFill="1" applyBorder="1" applyAlignment="1">
      <alignment vertical="center"/>
    </xf>
    <xf numFmtId="0" fontId="8" fillId="3" borderId="1" xfId="1" applyFont="1" applyFill="1" applyBorder="1" applyAlignment="1">
      <alignment vertical="center"/>
    </xf>
    <xf numFmtId="0" fontId="8" fillId="5" borderId="2" xfId="1" applyFont="1" applyFill="1" applyBorder="1" applyAlignment="1">
      <alignment vertical="center"/>
    </xf>
    <xf numFmtId="0" fontId="8" fillId="9" borderId="2" xfId="1" applyFont="1" applyFill="1" applyBorder="1" applyAlignment="1">
      <alignment vertical="center" wrapText="1"/>
    </xf>
    <xf numFmtId="0" fontId="9" fillId="0" borderId="1" xfId="4" applyFont="1" applyBorder="1" applyAlignment="1">
      <alignment horizontal="left" vertical="center"/>
    </xf>
    <xf numFmtId="165" fontId="8" fillId="3" borderId="1" xfId="3" applyFont="1" applyFill="1" applyBorder="1" applyAlignment="1">
      <alignment vertical="center"/>
    </xf>
    <xf numFmtId="165" fontId="8" fillId="11" borderId="1" xfId="3" applyFont="1" applyFill="1" applyBorder="1" applyAlignment="1">
      <alignment vertical="center"/>
    </xf>
    <xf numFmtId="0" fontId="9" fillId="0" borderId="1" xfId="4" applyFont="1" applyBorder="1"/>
    <xf numFmtId="0" fontId="8" fillId="3" borderId="1" xfId="1" applyFont="1" applyFill="1" applyBorder="1"/>
    <xf numFmtId="0" fontId="2" fillId="0" borderId="0" xfId="1" applyFont="1" applyFill="1"/>
    <xf numFmtId="0" fontId="2" fillId="12" borderId="2" xfId="1" applyFont="1" applyFill="1" applyBorder="1" applyAlignment="1">
      <alignment horizontal="right"/>
    </xf>
    <xf numFmtId="0" fontId="2" fillId="12" borderId="2" xfId="1" applyFont="1" applyFill="1" applyBorder="1"/>
    <xf numFmtId="0" fontId="2" fillId="12" borderId="2" xfId="1" applyFont="1" applyFill="1" applyBorder="1" applyAlignment="1">
      <alignment horizontal="center"/>
    </xf>
    <xf numFmtId="0" fontId="2" fillId="13" borderId="1" xfId="1" applyFont="1" applyFill="1" applyBorder="1"/>
    <xf numFmtId="167" fontId="7" fillId="0" borderId="0" xfId="5" applyNumberFormat="1" applyProtection="1"/>
    <xf numFmtId="0" fontId="2" fillId="0" borderId="4" xfId="1" applyFont="1" applyFill="1" applyBorder="1"/>
    <xf numFmtId="168" fontId="2" fillId="0" borderId="4" xfId="1" applyNumberFormat="1" applyFont="1" applyFill="1" applyBorder="1"/>
    <xf numFmtId="165" fontId="5" fillId="0" borderId="0" xfId="3" applyFont="1" applyFill="1" applyAlignment="1">
      <alignment horizontal="center"/>
    </xf>
    <xf numFmtId="167" fontId="0" fillId="0" borderId="0" xfId="1" applyNumberFormat="1" applyFont="1" applyFill="1"/>
    <xf numFmtId="165" fontId="5" fillId="0" borderId="0" xfId="3" applyFont="1" applyFill="1" applyAlignment="1">
      <alignment horizontal="center" vertical="center"/>
    </xf>
    <xf numFmtId="165" fontId="0" fillId="0" borderId="0" xfId="1" applyNumberFormat="1" applyFont="1" applyFill="1"/>
    <xf numFmtId="0" fontId="2" fillId="0" borderId="5" xfId="1" applyFont="1" applyFill="1" applyBorder="1"/>
    <xf numFmtId="0" fontId="4" fillId="12" borderId="0" xfId="1" applyFont="1" applyFill="1"/>
    <xf numFmtId="0" fontId="2" fillId="12" borderId="0" xfId="1" applyFont="1" applyFill="1"/>
    <xf numFmtId="0" fontId="2" fillId="12" borderId="6" xfId="1" applyFont="1" applyFill="1" applyBorder="1"/>
    <xf numFmtId="0" fontId="2" fillId="13" borderId="5" xfId="1" applyFont="1" applyFill="1" applyBorder="1" applyAlignment="1">
      <alignment horizontal="center"/>
    </xf>
    <xf numFmtId="0" fontId="2" fillId="13" borderId="5" xfId="1" applyFont="1" applyFill="1" applyBorder="1" applyAlignment="1">
      <alignment horizontal="center" vertical="center"/>
    </xf>
    <xf numFmtId="0" fontId="4" fillId="0" borderId="4" xfId="1" applyFont="1" applyFill="1" applyBorder="1"/>
    <xf numFmtId="170" fontId="2" fillId="0" borderId="4" xfId="1" applyNumberFormat="1" applyFont="1" applyFill="1" applyBorder="1"/>
    <xf numFmtId="168" fontId="2" fillId="14" borderId="4" xfId="1" applyNumberFormat="1" applyFont="1" applyFill="1" applyBorder="1"/>
    <xf numFmtId="170" fontId="2" fillId="15" borderId="4" xfId="1" applyNumberFormat="1" applyFont="1" applyFill="1" applyBorder="1"/>
    <xf numFmtId="0" fontId="2" fillId="15" borderId="4" xfId="1" applyFont="1" applyFill="1" applyBorder="1"/>
    <xf numFmtId="165" fontId="2" fillId="0" borderId="4" xfId="1" applyNumberFormat="1" applyFont="1" applyFill="1" applyBorder="1"/>
    <xf numFmtId="168" fontId="2" fillId="14" borderId="4" xfId="3" applyNumberFormat="1" applyFont="1" applyFill="1" applyBorder="1"/>
    <xf numFmtId="165" fontId="2" fillId="0" borderId="4" xfId="3" applyFont="1" applyFill="1" applyBorder="1"/>
    <xf numFmtId="168" fontId="2" fillId="16" borderId="4" xfId="1" applyNumberFormat="1" applyFont="1" applyFill="1" applyBorder="1"/>
    <xf numFmtId="170" fontId="2" fillId="16" borderId="4" xfId="1" applyNumberFormat="1" applyFont="1" applyFill="1" applyBorder="1"/>
    <xf numFmtId="165" fontId="2" fillId="15" borderId="4" xfId="1" applyNumberFormat="1" applyFont="1" applyFill="1" applyBorder="1"/>
    <xf numFmtId="170" fontId="2" fillId="0" borderId="4" xfId="6" applyNumberFormat="1" applyFont="1" applyFill="1" applyBorder="1"/>
    <xf numFmtId="165" fontId="2" fillId="5" borderId="4" xfId="1" applyNumberFormat="1" applyFont="1" applyFill="1" applyBorder="1"/>
    <xf numFmtId="172" fontId="0" fillId="0" borderId="0" xfId="1" applyNumberFormat="1" applyFont="1" applyFill="1"/>
    <xf numFmtId="165" fontId="2" fillId="0" borderId="4" xfId="7" applyFont="1" applyFill="1" applyBorder="1"/>
    <xf numFmtId="0" fontId="2" fillId="5" borderId="4" xfId="1" applyFont="1" applyFill="1" applyBorder="1"/>
    <xf numFmtId="0" fontId="0" fillId="0" borderId="0" xfId="1" applyFont="1" applyFill="1" applyAlignment="1">
      <alignment horizontal="center"/>
    </xf>
    <xf numFmtId="170" fontId="2" fillId="15" borderId="4" xfId="6" applyNumberFormat="1" applyFont="1" applyFill="1" applyBorder="1"/>
    <xf numFmtId="174" fontId="2" fillId="15" borderId="4" xfId="6" applyNumberFormat="1" applyFont="1" applyFill="1" applyBorder="1"/>
    <xf numFmtId="175" fontId="2" fillId="0" borderId="4" xfId="1" applyNumberFormat="1" applyFont="1" applyFill="1" applyBorder="1"/>
    <xf numFmtId="170" fontId="2" fillId="16" borderId="4" xfId="6" applyNumberFormat="1" applyFont="1" applyFill="1" applyBorder="1"/>
    <xf numFmtId="168" fontId="2" fillId="16" borderId="4" xfId="3" applyNumberFormat="1" applyFont="1" applyFill="1" applyBorder="1"/>
    <xf numFmtId="174" fontId="2" fillId="0" borderId="4" xfId="6" applyNumberFormat="1" applyFont="1" applyFill="1" applyBorder="1"/>
    <xf numFmtId="165" fontId="2" fillId="14" borderId="1" xfId="1" applyNumberFormat="1" applyFont="1" applyFill="1" applyBorder="1"/>
    <xf numFmtId="0" fontId="2" fillId="14" borderId="1" xfId="1" applyFont="1" applyFill="1" applyBorder="1"/>
    <xf numFmtId="4" fontId="0" fillId="0" borderId="0" xfId="1" applyNumberFormat="1" applyFont="1" applyFill="1"/>
    <xf numFmtId="167" fontId="2" fillId="0" borderId="4" xfId="1" applyNumberFormat="1" applyFont="1" applyFill="1" applyBorder="1"/>
    <xf numFmtId="174" fontId="2" fillId="0" borderId="4" xfId="1" applyNumberFormat="1" applyFont="1" applyFill="1" applyBorder="1"/>
    <xf numFmtId="164" fontId="2" fillId="0" borderId="4" xfId="1" applyNumberFormat="1" applyFont="1" applyFill="1" applyBorder="1"/>
    <xf numFmtId="0" fontId="2" fillId="16" borderId="4" xfId="1" applyFont="1" applyFill="1" applyBorder="1"/>
    <xf numFmtId="0" fontId="2" fillId="14" borderId="0" xfId="1" applyFont="1" applyFill="1" applyAlignment="1">
      <alignment horizontal="center" vertical="center"/>
    </xf>
    <xf numFmtId="0" fontId="2" fillId="14" borderId="9" xfId="1" applyFont="1" applyFill="1" applyBorder="1" applyAlignment="1">
      <alignment horizontal="center" vertical="center"/>
    </xf>
    <xf numFmtId="0" fontId="2" fillId="0" borderId="8" xfId="1" applyFont="1" applyFill="1" applyBorder="1"/>
    <xf numFmtId="174" fontId="2" fillId="16" borderId="2" xfId="6" applyNumberFormat="1" applyFont="1" applyFill="1" applyBorder="1"/>
    <xf numFmtId="165" fontId="2" fillId="0" borderId="2" xfId="1" applyNumberFormat="1" applyFont="1" applyFill="1" applyBorder="1"/>
    <xf numFmtId="174" fontId="2" fillId="16" borderId="4" xfId="6" applyNumberFormat="1" applyFont="1" applyFill="1" applyBorder="1"/>
    <xf numFmtId="0" fontId="4" fillId="14" borderId="10" xfId="1" applyFont="1" applyFill="1" applyBorder="1"/>
    <xf numFmtId="0" fontId="2" fillId="14" borderId="10" xfId="1" applyFont="1" applyFill="1" applyBorder="1"/>
    <xf numFmtId="168" fontId="2" fillId="0" borderId="2" xfId="1" applyNumberFormat="1" applyFont="1" applyFill="1" applyBorder="1"/>
    <xf numFmtId="168" fontId="2" fillId="0" borderId="5" xfId="1" applyNumberFormat="1" applyFont="1" applyFill="1" applyBorder="1"/>
    <xf numFmtId="0" fontId="2" fillId="14" borderId="6" xfId="1" applyFont="1" applyFill="1" applyBorder="1" applyAlignment="1">
      <alignment horizontal="center"/>
    </xf>
    <xf numFmtId="0" fontId="2" fillId="0" borderId="2" xfId="1" applyFont="1" applyFill="1" applyBorder="1"/>
    <xf numFmtId="0" fontId="4" fillId="14" borderId="1" xfId="1" applyFont="1" applyFill="1" applyBorder="1"/>
    <xf numFmtId="0" fontId="2" fillId="14" borderId="1" xfId="1" applyFont="1" applyFill="1" applyBorder="1" applyAlignment="1">
      <alignment horizontal="center"/>
    </xf>
    <xf numFmtId="165" fontId="2" fillId="17" borderId="1" xfId="1" applyNumberFormat="1" applyFont="1" applyFill="1" applyBorder="1"/>
    <xf numFmtId="2" fontId="2" fillId="17" borderId="1" xfId="1" applyNumberFormat="1" applyFont="1" applyFill="1" applyBorder="1" applyAlignment="1">
      <alignment horizontal="center"/>
    </xf>
    <xf numFmtId="2" fontId="0" fillId="0" borderId="0" xfId="1" applyNumberFormat="1" applyFont="1" applyFill="1"/>
    <xf numFmtId="0" fontId="0" fillId="0" borderId="0" xfId="8" applyFont="1" applyAlignment="1" applyProtection="1">
      <alignment horizontal="center"/>
    </xf>
    <xf numFmtId="0" fontId="15" fillId="0" borderId="0" xfId="8" applyFont="1" applyProtection="1"/>
    <xf numFmtId="0" fontId="0" fillId="0" borderId="0" xfId="8" applyFont="1" applyProtection="1"/>
    <xf numFmtId="0" fontId="1" fillId="0" borderId="0" xfId="9"/>
    <xf numFmtId="0" fontId="16" fillId="0" borderId="0" xfId="8" applyFont="1" applyAlignment="1" applyProtection="1">
      <alignment horizontal="center"/>
    </xf>
    <xf numFmtId="0" fontId="16" fillId="0" borderId="0" xfId="8" applyFont="1" applyProtection="1"/>
    <xf numFmtId="0" fontId="17" fillId="0" borderId="1" xfId="8" applyFont="1" applyBorder="1" applyAlignment="1" applyProtection="1">
      <alignment horizontal="center" vertical="center" wrapText="1"/>
    </xf>
    <xf numFmtId="169" fontId="19" fillId="18" borderId="1" xfId="10" applyNumberFormat="1" applyFont="1" applyFill="1" applyBorder="1" applyProtection="1">
      <protection locked="0"/>
    </xf>
    <xf numFmtId="0" fontId="20" fillId="0" borderId="0" xfId="2" applyFont="1" applyProtection="1"/>
    <xf numFmtId="176" fontId="21" fillId="3" borderId="0" xfId="8" applyNumberFormat="1" applyFont="1" applyFill="1" applyProtection="1"/>
    <xf numFmtId="176" fontId="21" fillId="5" borderId="0" xfId="8" applyNumberFormat="1" applyFont="1" applyFill="1" applyProtection="1"/>
    <xf numFmtId="0" fontId="21" fillId="3" borderId="0" xfId="8" applyFont="1" applyFill="1" applyProtection="1"/>
    <xf numFmtId="0" fontId="21" fillId="5" borderId="0" xfId="8" applyFont="1" applyFill="1" applyProtection="1"/>
    <xf numFmtId="0" fontId="22" fillId="0" borderId="0" xfId="8" applyFont="1" applyProtection="1"/>
    <xf numFmtId="0" fontId="21" fillId="0" borderId="0" xfId="8" applyFont="1" applyProtection="1"/>
    <xf numFmtId="0" fontId="9" fillId="0" borderId="0" xfId="8" applyFont="1" applyAlignment="1" applyProtection="1">
      <alignment horizontal="center" wrapText="1"/>
    </xf>
    <xf numFmtId="0" fontId="9" fillId="0" borderId="1" xfId="8" applyFont="1" applyBorder="1" applyAlignment="1" applyProtection="1">
      <alignment horizontal="center" vertical="center" wrapText="1"/>
    </xf>
    <xf numFmtId="0" fontId="9" fillId="0" borderId="0" xfId="8" applyFont="1" applyAlignment="1" applyProtection="1">
      <alignment horizontal="center"/>
    </xf>
    <xf numFmtId="0" fontId="9" fillId="0" borderId="0" xfId="8" applyFont="1" applyAlignment="1" applyProtection="1">
      <alignment horizontal="center" vertical="center"/>
    </xf>
    <xf numFmtId="0" fontId="9" fillId="0" borderId="1" xfId="8" applyFont="1" applyBorder="1" applyAlignment="1" applyProtection="1">
      <alignment horizontal="center" vertical="center"/>
    </xf>
    <xf numFmtId="2" fontId="0" fillId="0" borderId="0" xfId="8" applyNumberFormat="1" applyFont="1" applyAlignment="1" applyProtection="1">
      <alignment horizontal="center"/>
    </xf>
    <xf numFmtId="0" fontId="9" fillId="0" borderId="1" xfId="8" applyFont="1" applyBorder="1" applyProtection="1"/>
    <xf numFmtId="169" fontId="19" fillId="18" borderId="8" xfId="10" applyNumberFormat="1" applyFont="1" applyFill="1" applyBorder="1" applyProtection="1">
      <protection locked="0"/>
    </xf>
    <xf numFmtId="2" fontId="0" fillId="0" borderId="1" xfId="8" applyNumberFormat="1" applyFont="1" applyBorder="1" applyProtection="1"/>
    <xf numFmtId="4" fontId="0" fillId="0" borderId="1" xfId="8" applyNumberFormat="1" applyFont="1" applyBorder="1" applyProtection="1"/>
    <xf numFmtId="176" fontId="0" fillId="0" borderId="1" xfId="8" applyNumberFormat="1" applyFont="1" applyBorder="1" applyProtection="1"/>
    <xf numFmtId="0" fontId="0" fillId="0" borderId="1" xfId="8" applyFont="1" applyBorder="1" applyProtection="1"/>
    <xf numFmtId="2" fontId="23" fillId="0" borderId="1" xfId="8" applyNumberFormat="1" applyFont="1" applyBorder="1" applyProtection="1"/>
    <xf numFmtId="0" fontId="9" fillId="0" borderId="3" xfId="8" applyFont="1" applyBorder="1" applyAlignment="1" applyProtection="1">
      <alignment horizontal="center"/>
    </xf>
    <xf numFmtId="0" fontId="0" fillId="0" borderId="10" xfId="8" applyFont="1" applyBorder="1" applyProtection="1"/>
    <xf numFmtId="176" fontId="0" fillId="0" borderId="7" xfId="8" applyNumberFormat="1" applyFont="1" applyBorder="1" applyProtection="1"/>
    <xf numFmtId="2" fontId="0" fillId="0" borderId="0" xfId="8" applyNumberFormat="1" applyFont="1" applyProtection="1"/>
    <xf numFmtId="0" fontId="23" fillId="0" borderId="0" xfId="8" applyFont="1" applyProtection="1"/>
    <xf numFmtId="0" fontId="9" fillId="0" borderId="0" xfId="8" applyFont="1" applyProtection="1"/>
    <xf numFmtId="4" fontId="23" fillId="0" borderId="1" xfId="8" applyNumberFormat="1" applyFont="1" applyBorder="1" applyProtection="1"/>
    <xf numFmtId="0" fontId="9" fillId="0" borderId="2" xfId="8" applyFont="1" applyBorder="1" applyProtection="1"/>
    <xf numFmtId="4" fontId="0" fillId="0" borderId="2" xfId="8" applyNumberFormat="1" applyFont="1" applyBorder="1" applyProtection="1"/>
    <xf numFmtId="2" fontId="0" fillId="0" borderId="2" xfId="8" applyNumberFormat="1" applyFont="1" applyBorder="1" applyProtection="1"/>
    <xf numFmtId="0" fontId="0" fillId="0" borderId="0" xfId="11" applyFont="1" applyAlignment="1" applyProtection="1">
      <alignment horizontal="center"/>
    </xf>
    <xf numFmtId="0" fontId="15" fillId="0" borderId="0" xfId="11" applyFont="1" applyProtection="1"/>
    <xf numFmtId="0" fontId="0" fillId="0" borderId="0" xfId="11" applyFont="1" applyProtection="1"/>
    <xf numFmtId="4" fontId="0" fillId="0" borderId="0" xfId="11" applyNumberFormat="1" applyFont="1" applyProtection="1"/>
    <xf numFmtId="0" fontId="1" fillId="0" borderId="0" xfId="12"/>
    <xf numFmtId="0" fontId="0" fillId="0" borderId="0" xfId="11" applyFont="1" applyAlignment="1" applyProtection="1">
      <alignment horizontal="center" vertical="center" wrapText="1"/>
    </xf>
    <xf numFmtId="0" fontId="0" fillId="0" borderId="1" xfId="11" applyFont="1" applyBorder="1" applyAlignment="1" applyProtection="1">
      <alignment horizontal="center" vertical="center" wrapText="1"/>
    </xf>
    <xf numFmtId="0" fontId="25" fillId="0" borderId="1" xfId="11" applyFont="1" applyBorder="1" applyAlignment="1" applyProtection="1">
      <alignment horizontal="center" vertical="center" wrapText="1"/>
    </xf>
    <xf numFmtId="0" fontId="0" fillId="19" borderId="1" xfId="11" applyFont="1" applyFill="1" applyBorder="1" applyAlignment="1" applyProtection="1">
      <alignment horizontal="center" vertical="center" wrapText="1"/>
    </xf>
    <xf numFmtId="0" fontId="0" fillId="20" borderId="1" xfId="11" applyFont="1" applyFill="1" applyBorder="1" applyAlignment="1" applyProtection="1">
      <alignment horizontal="center" vertical="center" wrapText="1"/>
    </xf>
    <xf numFmtId="4" fontId="0" fillId="20" borderId="1" xfId="11" applyNumberFormat="1" applyFont="1" applyFill="1" applyBorder="1" applyAlignment="1" applyProtection="1">
      <alignment horizontal="center" vertical="center" wrapText="1"/>
    </xf>
    <xf numFmtId="177" fontId="0" fillId="20" borderId="1" xfId="11" applyNumberFormat="1" applyFont="1" applyFill="1" applyBorder="1" applyAlignment="1" applyProtection="1">
      <alignment horizontal="center" vertical="center" wrapText="1"/>
    </xf>
    <xf numFmtId="4" fontId="0" fillId="19" borderId="1" xfId="11" applyNumberFormat="1" applyFont="1" applyFill="1" applyBorder="1" applyAlignment="1" applyProtection="1">
      <alignment horizontal="center" vertical="center" wrapText="1"/>
    </xf>
    <xf numFmtId="177" fontId="0" fillId="19" borderId="1" xfId="11" applyNumberFormat="1" applyFont="1" applyFill="1" applyBorder="1" applyAlignment="1" applyProtection="1">
      <alignment horizontal="center" vertical="center" wrapText="1"/>
    </xf>
    <xf numFmtId="0" fontId="0" fillId="0" borderId="1" xfId="11" applyFont="1" applyBorder="1" applyProtection="1"/>
    <xf numFmtId="169" fontId="21" fillId="21" borderId="1" xfId="13" applyNumberFormat="1" applyFont="1" applyFill="1" applyBorder="1" applyProtection="1">
      <protection locked="0"/>
    </xf>
    <xf numFmtId="4" fontId="25" fillId="0" borderId="1" xfId="11" applyNumberFormat="1" applyFont="1" applyBorder="1" applyProtection="1"/>
    <xf numFmtId="4" fontId="0" fillId="22" borderId="1" xfId="11" applyNumberFormat="1" applyFont="1" applyFill="1" applyBorder="1" applyProtection="1"/>
    <xf numFmtId="4" fontId="0" fillId="0" borderId="1" xfId="11" applyNumberFormat="1" applyFont="1" applyBorder="1" applyProtection="1"/>
    <xf numFmtId="177" fontId="0" fillId="19" borderId="1" xfId="11" applyNumberFormat="1" applyFont="1" applyFill="1" applyBorder="1" applyProtection="1"/>
    <xf numFmtId="4" fontId="0" fillId="19" borderId="1" xfId="11" applyNumberFormat="1" applyFont="1" applyFill="1" applyBorder="1" applyProtection="1"/>
    <xf numFmtId="4" fontId="0" fillId="19" borderId="1" xfId="2" applyNumberFormat="1" applyFont="1" applyFill="1" applyBorder="1" applyProtection="1"/>
    <xf numFmtId="177" fontId="0" fillId="20" borderId="1" xfId="11" applyNumberFormat="1" applyFont="1" applyFill="1" applyBorder="1" applyProtection="1"/>
    <xf numFmtId="4" fontId="0" fillId="20" borderId="1" xfId="11" applyNumberFormat="1" applyFont="1" applyFill="1" applyBorder="1" applyProtection="1"/>
    <xf numFmtId="4" fontId="0" fillId="0" borderId="1" xfId="11" applyNumberFormat="1" applyFont="1" applyBorder="1" applyAlignment="1" applyProtection="1">
      <alignment horizontal="center"/>
    </xf>
    <xf numFmtId="177" fontId="0" fillId="0" borderId="1" xfId="11" applyNumberFormat="1" applyFont="1" applyBorder="1" applyProtection="1"/>
    <xf numFmtId="0" fontId="0" fillId="0" borderId="10" xfId="11" applyFont="1" applyBorder="1" applyProtection="1"/>
    <xf numFmtId="0" fontId="0" fillId="0" borderId="6" xfId="11" applyFont="1" applyBorder="1" applyProtection="1"/>
    <xf numFmtId="0" fontId="0" fillId="0" borderId="7" xfId="11" applyFont="1" applyBorder="1" applyProtection="1"/>
    <xf numFmtId="4" fontId="0" fillId="0" borderId="7" xfId="11" applyNumberFormat="1" applyFont="1" applyBorder="1" applyProtection="1"/>
    <xf numFmtId="0" fontId="9" fillId="0" borderId="0" xfId="11" applyFont="1" applyAlignment="1" applyProtection="1">
      <alignment wrapText="1"/>
    </xf>
    <xf numFmtId="4" fontId="0" fillId="20" borderId="7" xfId="11" applyNumberFormat="1" applyFont="1" applyFill="1" applyBorder="1" applyProtection="1"/>
    <xf numFmtId="0" fontId="0" fillId="20" borderId="1" xfId="11" applyFont="1" applyFill="1" applyBorder="1" applyProtection="1"/>
    <xf numFmtId="0" fontId="1" fillId="0" borderId="0" xfId="14"/>
    <xf numFmtId="0" fontId="0" fillId="0" borderId="10" xfId="11" applyFont="1" applyBorder="1" applyAlignment="1" applyProtection="1">
      <alignment horizontal="left"/>
    </xf>
    <xf numFmtId="0" fontId="0" fillId="0" borderId="6" xfId="11" applyFont="1" applyBorder="1" applyAlignment="1" applyProtection="1">
      <alignment horizontal="left"/>
    </xf>
    <xf numFmtId="0" fontId="0" fillId="0" borderId="7" xfId="11" applyFont="1" applyBorder="1" applyAlignment="1" applyProtection="1">
      <alignment horizontal="left"/>
    </xf>
    <xf numFmtId="0" fontId="27" fillId="0" borderId="0" xfId="15" applyProtection="1"/>
    <xf numFmtId="0" fontId="28" fillId="22" borderId="1" xfId="15" applyFont="1" applyFill="1" applyBorder="1" applyProtection="1"/>
    <xf numFmtId="0" fontId="1" fillId="0" borderId="0" xfId="16"/>
    <xf numFmtId="0" fontId="25" fillId="23" borderId="1" xfId="15" applyFont="1" applyFill="1" applyBorder="1" applyAlignment="1" applyProtection="1">
      <alignment horizontal="center" vertical="center"/>
    </xf>
    <xf numFmtId="0" fontId="25" fillId="23" borderId="1" xfId="15" applyFont="1" applyFill="1" applyBorder="1" applyAlignment="1" applyProtection="1">
      <alignment vertical="center"/>
    </xf>
    <xf numFmtId="0" fontId="28" fillId="23" borderId="1" xfId="15" applyFont="1" applyFill="1" applyBorder="1" applyProtection="1"/>
    <xf numFmtId="15" fontId="27" fillId="0" borderId="1" xfId="15" applyNumberFormat="1" applyBorder="1" applyProtection="1"/>
    <xf numFmtId="2" fontId="27" fillId="0" borderId="1" xfId="15" applyNumberFormat="1" applyBorder="1" applyProtection="1"/>
    <xf numFmtId="2" fontId="27" fillId="24" borderId="1" xfId="15" applyNumberFormat="1" applyFill="1" applyBorder="1" applyProtection="1"/>
    <xf numFmtId="2" fontId="27" fillId="0" borderId="0" xfId="15" applyNumberFormat="1" applyProtection="1"/>
    <xf numFmtId="15" fontId="27" fillId="25" borderId="10" xfId="15" applyNumberFormat="1" applyFill="1" applyBorder="1" applyProtection="1"/>
    <xf numFmtId="2" fontId="27" fillId="26" borderId="1" xfId="15" applyNumberFormat="1" applyFill="1" applyBorder="1" applyProtection="1"/>
    <xf numFmtId="0" fontId="27" fillId="23" borderId="1" xfId="15" applyFill="1" applyBorder="1" applyAlignment="1" applyProtection="1">
      <alignment horizontal="center"/>
    </xf>
    <xf numFmtId="0" fontId="27" fillId="0" borderId="0" xfId="15" applyAlignment="1" applyProtection="1">
      <alignment vertical="center"/>
    </xf>
    <xf numFmtId="0" fontId="25" fillId="23" borderId="1" xfId="15" applyFont="1" applyFill="1" applyBorder="1" applyAlignment="1" applyProtection="1">
      <alignment horizontal="center"/>
    </xf>
    <xf numFmtId="2" fontId="27" fillId="27" borderId="1" xfId="15" applyNumberFormat="1" applyFill="1" applyBorder="1" applyProtection="1"/>
    <xf numFmtId="0" fontId="29" fillId="0" borderId="0" xfId="17"/>
    <xf numFmtId="0" fontId="29" fillId="0" borderId="4" xfId="17" applyBorder="1" applyAlignment="1">
      <alignment horizontal="center"/>
    </xf>
    <xf numFmtId="0" fontId="29" fillId="21" borderId="1" xfId="17" applyFill="1" applyBorder="1"/>
    <xf numFmtId="178" fontId="1" fillId="21" borderId="1" xfId="18" applyFont="1" applyFill="1" applyBorder="1"/>
    <xf numFmtId="0" fontId="9" fillId="28" borderId="10" xfId="17" applyFont="1" applyFill="1" applyBorder="1"/>
    <xf numFmtId="0" fontId="9" fillId="28" borderId="6" xfId="17" applyFont="1" applyFill="1" applyBorder="1"/>
    <xf numFmtId="0" fontId="9" fillId="0" borderId="8" xfId="17" applyFont="1" applyBorder="1" applyAlignment="1">
      <alignment horizontal="center"/>
    </xf>
    <xf numFmtId="0" fontId="9" fillId="0" borderId="0" xfId="17" applyFont="1" applyAlignment="1">
      <alignment horizontal="center"/>
    </xf>
    <xf numFmtId="0" fontId="9" fillId="0" borderId="9" xfId="17" applyFont="1" applyBorder="1" applyAlignment="1">
      <alignment horizontal="center"/>
    </xf>
    <xf numFmtId="0" fontId="9" fillId="0" borderId="8" xfId="17" applyFont="1" applyBorder="1"/>
    <xf numFmtId="0" fontId="9" fillId="0" borderId="0" xfId="17" applyFont="1"/>
    <xf numFmtId="0" fontId="9" fillId="0" borderId="0" xfId="17" applyFont="1" applyAlignment="1">
      <alignment horizontal="right"/>
    </xf>
    <xf numFmtId="0" fontId="9" fillId="0" borderId="9" xfId="17" applyFont="1" applyBorder="1"/>
    <xf numFmtId="0" fontId="31" fillId="29" borderId="1" xfId="19" applyFont="1" applyFill="1" applyBorder="1"/>
    <xf numFmtId="2" fontId="31" fillId="29" borderId="1" xfId="19" applyNumberFormat="1" applyFont="1" applyFill="1" applyBorder="1"/>
    <xf numFmtId="0" fontId="9" fillId="0" borderId="11" xfId="17" applyFont="1" applyBorder="1"/>
    <xf numFmtId="0" fontId="9" fillId="0" borderId="12" xfId="17" applyFont="1" applyBorder="1"/>
    <xf numFmtId="0" fontId="9" fillId="0" borderId="13" xfId="17" applyFont="1" applyBorder="1"/>
    <xf numFmtId="0" fontId="9" fillId="28" borderId="10" xfId="17" applyFont="1" applyFill="1" applyBorder="1" applyAlignment="1">
      <alignment horizontal="center"/>
    </xf>
    <xf numFmtId="0" fontId="9" fillId="28" borderId="10" xfId="17" applyFont="1" applyFill="1" applyBorder="1" applyAlignment="1">
      <alignment horizontal="left"/>
    </xf>
    <xf numFmtId="0" fontId="9" fillId="28" borderId="6" xfId="17" applyFont="1" applyFill="1" applyBorder="1" applyAlignment="1">
      <alignment horizontal="center"/>
    </xf>
    <xf numFmtId="0" fontId="9" fillId="28" borderId="1" xfId="17" applyFont="1" applyFill="1" applyBorder="1" applyAlignment="1">
      <alignment horizontal="center"/>
    </xf>
    <xf numFmtId="0" fontId="29" fillId="0" borderId="1" xfId="17" applyBorder="1"/>
    <xf numFmtId="2" fontId="29" fillId="0" borderId="1" xfId="17" applyNumberFormat="1" applyBorder="1"/>
    <xf numFmtId="0" fontId="29" fillId="0" borderId="8" xfId="17" applyBorder="1"/>
    <xf numFmtId="178" fontId="1" fillId="0" borderId="0" xfId="18" applyFont="1" applyAlignment="1">
      <alignment horizontal="center"/>
    </xf>
    <xf numFmtId="178" fontId="1" fillId="0" borderId="9" xfId="18" applyFont="1" applyBorder="1" applyAlignment="1">
      <alignment horizontal="center"/>
    </xf>
    <xf numFmtId="2" fontId="1" fillId="0" borderId="4" xfId="18" applyNumberFormat="1" applyFont="1" applyBorder="1" applyAlignment="1">
      <alignment horizontal="center"/>
    </xf>
    <xf numFmtId="2" fontId="29" fillId="0" borderId="4" xfId="17" applyNumberFormat="1" applyBorder="1" applyAlignment="1">
      <alignment horizontal="center"/>
    </xf>
    <xf numFmtId="168" fontId="29" fillId="0" borderId="4" xfId="17" applyNumberFormat="1" applyBorder="1" applyAlignment="1">
      <alignment horizontal="center"/>
    </xf>
    <xf numFmtId="168" fontId="29" fillId="0" borderId="1" xfId="17" applyNumberFormat="1" applyBorder="1" applyAlignment="1">
      <alignment horizontal="center"/>
    </xf>
    <xf numFmtId="0" fontId="9" fillId="0" borderId="2" xfId="17" applyFont="1" applyBorder="1"/>
    <xf numFmtId="2" fontId="29" fillId="0" borderId="2" xfId="17" applyNumberFormat="1" applyBorder="1"/>
    <xf numFmtId="0" fontId="29" fillId="0" borderId="2" xfId="17" applyBorder="1"/>
    <xf numFmtId="0" fontId="29" fillId="0" borderId="2" xfId="17" applyBorder="1" applyAlignment="1">
      <alignment horizontal="center"/>
    </xf>
    <xf numFmtId="2" fontId="9" fillId="0" borderId="2" xfId="17" applyNumberFormat="1" applyFont="1" applyBorder="1"/>
    <xf numFmtId="0" fontId="29" fillId="0" borderId="4" xfId="17" applyBorder="1"/>
    <xf numFmtId="171" fontId="1" fillId="30" borderId="4" xfId="20" applyFont="1" applyFill="1" applyBorder="1" applyAlignment="1">
      <alignment horizontal="center"/>
    </xf>
    <xf numFmtId="0" fontId="29" fillId="30" borderId="4" xfId="17" applyFill="1" applyBorder="1" applyAlignment="1">
      <alignment horizontal="center"/>
    </xf>
    <xf numFmtId="171" fontId="1" fillId="0" borderId="4" xfId="20" applyFont="1" applyBorder="1" applyAlignment="1">
      <alignment horizontal="center"/>
    </xf>
    <xf numFmtId="2" fontId="1" fillId="29" borderId="4" xfId="18" applyNumberFormat="1" applyFont="1" applyFill="1" applyBorder="1" applyAlignment="1">
      <alignment horizontal="center"/>
    </xf>
    <xf numFmtId="174" fontId="1" fillId="29" borderId="4" xfId="20" applyNumberFormat="1" applyFont="1" applyFill="1" applyBorder="1" applyAlignment="1">
      <alignment horizontal="center"/>
    </xf>
    <xf numFmtId="171" fontId="1" fillId="29" borderId="4" xfId="20" applyFont="1" applyFill="1" applyBorder="1" applyAlignment="1">
      <alignment horizontal="center"/>
    </xf>
    <xf numFmtId="2" fontId="29" fillId="30" borderId="4" xfId="17" applyNumberFormat="1" applyFill="1" applyBorder="1" applyAlignment="1">
      <alignment horizontal="center"/>
    </xf>
    <xf numFmtId="179" fontId="1" fillId="0" borderId="4" xfId="20" applyNumberFormat="1" applyFont="1" applyBorder="1" applyAlignment="1">
      <alignment horizontal="center"/>
    </xf>
    <xf numFmtId="0" fontId="9" fillId="0" borderId="4" xfId="17" applyFont="1" applyBorder="1"/>
    <xf numFmtId="179" fontId="1" fillId="29" borderId="4" xfId="20" applyNumberFormat="1" applyFont="1" applyFill="1" applyBorder="1" applyAlignment="1">
      <alignment horizontal="center"/>
    </xf>
    <xf numFmtId="2" fontId="9" fillId="0" borderId="4" xfId="18" applyNumberFormat="1" applyFont="1" applyBorder="1" applyAlignment="1">
      <alignment horizontal="center"/>
    </xf>
    <xf numFmtId="174" fontId="1" fillId="0" borderId="4" xfId="20" applyNumberFormat="1" applyFont="1" applyBorder="1" applyAlignment="1">
      <alignment horizontal="center"/>
    </xf>
    <xf numFmtId="174" fontId="1" fillId="0" borderId="0" xfId="20" applyNumberFormat="1" applyFont="1" applyAlignment="1">
      <alignment horizontal="center"/>
    </xf>
    <xf numFmtId="0" fontId="1" fillId="0" borderId="8" xfId="17" applyFont="1" applyBorder="1"/>
    <xf numFmtId="180" fontId="1" fillId="0" borderId="4" xfId="20" applyNumberFormat="1" applyFont="1" applyBorder="1" applyAlignment="1">
      <alignment horizontal="center"/>
    </xf>
    <xf numFmtId="180" fontId="1" fillId="0" borderId="0" xfId="20" applyNumberFormat="1" applyFont="1" applyAlignment="1">
      <alignment horizontal="center"/>
    </xf>
    <xf numFmtId="2" fontId="29" fillId="29" borderId="4" xfId="17" applyNumberFormat="1" applyFill="1" applyBorder="1" applyAlignment="1">
      <alignment horizontal="center"/>
    </xf>
    <xf numFmtId="0" fontId="9" fillId="30" borderId="4" xfId="17" applyFont="1" applyFill="1" applyBorder="1" applyAlignment="1">
      <alignment horizontal="center"/>
    </xf>
    <xf numFmtId="178" fontId="1" fillId="0" borderId="4" xfId="18" applyFont="1" applyBorder="1" applyAlignment="1">
      <alignment horizontal="center"/>
    </xf>
    <xf numFmtId="0" fontId="9" fillId="28" borderId="1" xfId="17" applyFont="1" applyFill="1" applyBorder="1" applyAlignment="1">
      <alignment vertical="center"/>
    </xf>
    <xf numFmtId="2" fontId="31" fillId="28" borderId="10" xfId="17" applyNumberFormat="1" applyFont="1" applyFill="1" applyBorder="1" applyAlignment="1">
      <alignment horizontal="center"/>
    </xf>
    <xf numFmtId="171" fontId="31" fillId="28" borderId="7" xfId="20" applyFont="1" applyFill="1" applyBorder="1" applyAlignment="1">
      <alignment horizontal="center"/>
    </xf>
    <xf numFmtId="171" fontId="1" fillId="28" borderId="1" xfId="20" applyFont="1" applyFill="1" applyBorder="1" applyAlignment="1">
      <alignment horizontal="center"/>
    </xf>
    <xf numFmtId="2" fontId="1" fillId="0" borderId="1" xfId="18" applyNumberFormat="1" applyFont="1" applyBorder="1"/>
    <xf numFmtId="2" fontId="31" fillId="29" borderId="4" xfId="18" applyNumberFormat="1" applyFont="1" applyFill="1" applyBorder="1" applyAlignment="1">
      <alignment horizontal="center"/>
    </xf>
    <xf numFmtId="0" fontId="9" fillId="28" borderId="1" xfId="17" applyFont="1" applyFill="1" applyBorder="1"/>
    <xf numFmtId="0" fontId="29" fillId="28" borderId="1" xfId="17" applyFill="1" applyBorder="1"/>
    <xf numFmtId="2" fontId="29" fillId="0" borderId="1" xfId="17" applyNumberFormat="1" applyBorder="1" applyAlignment="1">
      <alignment horizontal="center"/>
    </xf>
    <xf numFmtId="178" fontId="9" fillId="28" borderId="1" xfId="17" applyNumberFormat="1" applyFont="1" applyFill="1" applyBorder="1"/>
    <xf numFmtId="0" fontId="29" fillId="0" borderId="14" xfId="17" applyBorder="1"/>
    <xf numFmtId="2" fontId="29" fillId="0" borderId="2" xfId="17" applyNumberFormat="1" applyBorder="1" applyAlignment="1">
      <alignment horizontal="center"/>
    </xf>
    <xf numFmtId="0" fontId="29" fillId="30" borderId="2" xfId="17" applyFill="1" applyBorder="1"/>
    <xf numFmtId="178" fontId="9" fillId="30" borderId="2" xfId="17" applyNumberFormat="1" applyFont="1" applyFill="1" applyBorder="1"/>
    <xf numFmtId="2" fontId="29" fillId="0" borderId="4" xfId="17" applyNumberFormat="1" applyBorder="1"/>
    <xf numFmtId="0" fontId="29" fillId="30" borderId="4" xfId="17" applyFill="1" applyBorder="1"/>
    <xf numFmtId="178" fontId="9" fillId="30" borderId="4" xfId="17" applyNumberFormat="1" applyFont="1" applyFill="1" applyBorder="1"/>
    <xf numFmtId="2" fontId="1" fillId="0" borderId="4" xfId="18" applyNumberFormat="1" applyFont="1" applyBorder="1"/>
    <xf numFmtId="178" fontId="1" fillId="0" borderId="5" xfId="18" applyFont="1" applyBorder="1"/>
    <xf numFmtId="178" fontId="1" fillId="0" borderId="5" xfId="18" applyFont="1" applyBorder="1" applyAlignment="1">
      <alignment horizontal="center"/>
    </xf>
    <xf numFmtId="0" fontId="29" fillId="0" borderId="5" xfId="17" applyBorder="1"/>
    <xf numFmtId="178" fontId="9" fillId="0" borderId="5" xfId="17" applyNumberFormat="1" applyFont="1" applyBorder="1"/>
    <xf numFmtId="0" fontId="29" fillId="28" borderId="12" xfId="17" applyFill="1" applyBorder="1"/>
    <xf numFmtId="178" fontId="9" fillId="28" borderId="13" xfId="17" applyNumberFormat="1" applyFont="1" applyFill="1" applyBorder="1"/>
    <xf numFmtId="0" fontId="29" fillId="0" borderId="9" xfId="17" applyBorder="1"/>
    <xf numFmtId="0" fontId="29" fillId="28" borderId="1" xfId="17" applyFill="1" applyBorder="1" applyAlignment="1">
      <alignment horizontal="center"/>
    </xf>
    <xf numFmtId="178" fontId="29" fillId="0" borderId="1" xfId="17" applyNumberFormat="1" applyBorder="1" applyAlignment="1">
      <alignment horizontal="center"/>
    </xf>
    <xf numFmtId="0" fontId="29" fillId="0" borderId="1" xfId="17" applyBorder="1" applyAlignment="1">
      <alignment horizontal="center"/>
    </xf>
    <xf numFmtId="174" fontId="1" fillId="29" borderId="1" xfId="20" applyNumberFormat="1" applyFont="1" applyFill="1" applyBorder="1" applyAlignment="1">
      <alignment horizontal="center"/>
    </xf>
    <xf numFmtId="2" fontId="9" fillId="0" borderId="1" xfId="17" applyNumberFormat="1" applyFont="1" applyBorder="1" applyAlignment="1">
      <alignment horizontal="center"/>
    </xf>
    <xf numFmtId="0" fontId="29" fillId="28" borderId="6" xfId="17" applyFill="1" applyBorder="1"/>
    <xf numFmtId="182" fontId="0" fillId="0" borderId="0" xfId="1" applyNumberFormat="1" applyFont="1" applyFill="1"/>
    <xf numFmtId="181" fontId="2" fillId="0" borderId="4" xfId="1" applyNumberFormat="1" applyFont="1" applyFill="1" applyBorder="1"/>
    <xf numFmtId="183" fontId="34" fillId="0" borderId="4" xfId="1" applyNumberFormat="1" applyFont="1" applyFill="1" applyBorder="1" applyAlignment="1">
      <alignment horizontal="center" vertical="center"/>
    </xf>
    <xf numFmtId="183" fontId="34" fillId="0" borderId="4" xfId="3" applyNumberFormat="1" applyFont="1" applyFill="1" applyBorder="1" applyAlignment="1">
      <alignment horizontal="center" vertical="center"/>
    </xf>
    <xf numFmtId="183" fontId="34" fillId="0" borderId="5" xfId="1" applyNumberFormat="1" applyFont="1" applyFill="1" applyBorder="1" applyAlignment="1">
      <alignment horizontal="center" vertical="center"/>
    </xf>
    <xf numFmtId="0" fontId="2" fillId="0" borderId="0" xfId="1" applyFont="1" applyFill="1" applyBorder="1"/>
    <xf numFmtId="174" fontId="2" fillId="16" borderId="16" xfId="6" applyNumberFormat="1" applyFont="1" applyFill="1" applyBorder="1"/>
    <xf numFmtId="174" fontId="2" fillId="16" borderId="9" xfId="6" applyNumberFormat="1" applyFont="1" applyFill="1" applyBorder="1"/>
    <xf numFmtId="165" fontId="2" fillId="16" borderId="18" xfId="1" applyNumberFormat="1" applyFont="1" applyFill="1" applyBorder="1"/>
    <xf numFmtId="0" fontId="4" fillId="14" borderId="19" xfId="1" applyFont="1" applyFill="1" applyBorder="1" applyAlignment="1">
      <alignment horizontal="left"/>
    </xf>
    <xf numFmtId="0" fontId="2" fillId="14" borderId="20" xfId="1" applyFont="1" applyFill="1" applyBorder="1" applyAlignment="1">
      <alignment horizontal="center" vertical="center"/>
    </xf>
    <xf numFmtId="0" fontId="2" fillId="2" borderId="1" xfId="22" applyFont="1" applyFill="1" applyBorder="1" applyAlignment="1" applyProtection="1">
      <alignment horizontal="right" vertical="center"/>
    </xf>
    <xf numFmtId="0" fontId="2" fillId="3" borderId="1" xfId="22" applyFont="1" applyFill="1" applyBorder="1" applyAlignment="1" applyProtection="1">
      <alignment horizontal="left" vertical="center"/>
    </xf>
    <xf numFmtId="0" fontId="2" fillId="0" borderId="0" xfId="22" applyFont="1" applyFill="1" applyBorder="1" applyAlignment="1" applyProtection="1">
      <alignment horizontal="left" vertical="center"/>
    </xf>
    <xf numFmtId="164" fontId="2" fillId="3" borderId="1" xfId="22" applyNumberFormat="1" applyFont="1" applyFill="1" applyBorder="1" applyProtection="1"/>
    <xf numFmtId="0" fontId="1" fillId="0" borderId="0" xfId="22"/>
    <xf numFmtId="0" fontId="1" fillId="0" borderId="0" xfId="22" applyFill="1" applyBorder="1" applyProtection="1"/>
    <xf numFmtId="0" fontId="29" fillId="0" borderId="0" xfId="23"/>
    <xf numFmtId="164" fontId="2" fillId="0" borderId="1" xfId="22" applyNumberFormat="1" applyFont="1" applyFill="1" applyBorder="1" applyAlignment="1" applyProtection="1">
      <alignment horizontal="right" vertical="center"/>
    </xf>
    <xf numFmtId="165" fontId="4" fillId="5" borderId="1" xfId="3" applyFont="1" applyFill="1" applyBorder="1" applyProtection="1"/>
    <xf numFmtId="165" fontId="1" fillId="6" borderId="0" xfId="22" applyNumberFormat="1" applyFill="1" applyBorder="1" applyProtection="1"/>
    <xf numFmtId="164" fontId="2" fillId="7" borderId="1" xfId="22" applyNumberFormat="1" applyFont="1" applyFill="1" applyBorder="1" applyAlignment="1" applyProtection="1">
      <alignment horizontal="right" vertical="center"/>
    </xf>
    <xf numFmtId="165" fontId="2" fillId="7" borderId="1" xfId="3" applyFont="1" applyFill="1" applyBorder="1" applyProtection="1"/>
    <xf numFmtId="165" fontId="2" fillId="7" borderId="1" xfId="22" applyNumberFormat="1" applyFont="1" applyFill="1" applyBorder="1" applyAlignment="1" applyProtection="1">
      <alignment horizontal="right" vertical="center"/>
    </xf>
    <xf numFmtId="165" fontId="4" fillId="7" borderId="1" xfId="3" applyFont="1" applyFill="1" applyBorder="1" applyProtection="1"/>
    <xf numFmtId="0" fontId="6" fillId="0" borderId="0" xfId="22" applyFont="1" applyAlignment="1"/>
    <xf numFmtId="0" fontId="39" fillId="0" borderId="0" xfId="24"/>
    <xf numFmtId="0" fontId="2" fillId="2" borderId="1" xfId="22" applyFont="1" applyFill="1" applyBorder="1" applyAlignment="1" applyProtection="1">
      <alignment horizontal="right"/>
    </xf>
    <xf numFmtId="164" fontId="2" fillId="7" borderId="1" xfId="22" applyNumberFormat="1" applyFont="1" applyFill="1" applyBorder="1" applyProtection="1"/>
    <xf numFmtId="0" fontId="2" fillId="3" borderId="1" xfId="22" applyFont="1" applyFill="1" applyBorder="1" applyProtection="1"/>
    <xf numFmtId="0" fontId="40" fillId="31" borderId="21" xfId="0" applyFont="1" applyFill="1" applyBorder="1" applyAlignment="1">
      <alignment horizontal="left" vertical="center" wrapText="1"/>
    </xf>
    <xf numFmtId="165" fontId="2" fillId="7" borderId="1" xfId="22" applyNumberFormat="1" applyFont="1" applyFill="1" applyBorder="1" applyProtection="1"/>
    <xf numFmtId="164" fontId="1" fillId="0" borderId="0" xfId="22" applyNumberFormat="1" applyFill="1" applyBorder="1" applyProtection="1"/>
    <xf numFmtId="0" fontId="41" fillId="31" borderId="22" xfId="0" applyFont="1" applyFill="1" applyBorder="1" applyAlignment="1">
      <alignment horizontal="left" vertical="center" wrapText="1"/>
    </xf>
    <xf numFmtId="9" fontId="41" fillId="31" borderId="22" xfId="0" applyNumberFormat="1" applyFont="1" applyFill="1" applyBorder="1" applyAlignment="1">
      <alignment horizontal="left" vertical="center" wrapText="1"/>
    </xf>
    <xf numFmtId="0" fontId="41" fillId="31" borderId="23" xfId="0" applyFont="1" applyFill="1" applyBorder="1" applyAlignment="1">
      <alignment horizontal="left" vertical="center" wrapText="1"/>
    </xf>
    <xf numFmtId="184" fontId="2" fillId="0" borderId="1" xfId="22" applyNumberFormat="1" applyFont="1" applyFill="1" applyBorder="1" applyProtection="1"/>
    <xf numFmtId="0" fontId="2" fillId="0" borderId="0" xfId="22" applyFont="1" applyFill="1" applyBorder="1" applyProtection="1"/>
    <xf numFmtId="0" fontId="2" fillId="12" borderId="2" xfId="22" applyFont="1" applyFill="1" applyBorder="1" applyAlignment="1" applyProtection="1">
      <alignment horizontal="right"/>
    </xf>
    <xf numFmtId="0" fontId="2" fillId="12" borderId="2" xfId="22" applyFont="1" applyFill="1" applyBorder="1" applyProtection="1"/>
    <xf numFmtId="0" fontId="2" fillId="12" borderId="2" xfId="22" applyFont="1" applyFill="1" applyBorder="1" applyAlignment="1" applyProtection="1">
      <alignment horizontal="center"/>
    </xf>
    <xf numFmtId="167" fontId="39" fillId="0" borderId="0" xfId="24" applyNumberFormat="1"/>
    <xf numFmtId="0" fontId="2" fillId="13" borderId="1" xfId="22" applyFont="1" applyFill="1" applyBorder="1" applyProtection="1"/>
    <xf numFmtId="0" fontId="2" fillId="0" borderId="4" xfId="22" applyFont="1" applyFill="1" applyBorder="1" applyProtection="1"/>
    <xf numFmtId="168" fontId="2" fillId="0" borderId="4" xfId="22" applyNumberFormat="1" applyFont="1" applyFill="1" applyBorder="1" applyAlignment="1" applyProtection="1">
      <alignment horizontal="center" vertical="center"/>
    </xf>
    <xf numFmtId="168" fontId="2" fillId="0" borderId="4" xfId="3" applyNumberFormat="1" applyFont="1" applyFill="1" applyBorder="1" applyAlignment="1" applyProtection="1">
      <alignment horizontal="center" vertical="center"/>
    </xf>
    <xf numFmtId="168" fontId="2" fillId="0" borderId="4" xfId="22" applyNumberFormat="1" applyFont="1" applyFill="1" applyBorder="1" applyProtection="1"/>
    <xf numFmtId="165" fontId="5" fillId="0" borderId="0" xfId="3" applyFont="1" applyFill="1" applyBorder="1" applyAlignment="1" applyProtection="1">
      <alignment horizontal="center"/>
    </xf>
    <xf numFmtId="167" fontId="1" fillId="0" borderId="0" xfId="22" applyNumberFormat="1" applyFill="1" applyBorder="1" applyProtection="1"/>
    <xf numFmtId="165" fontId="5" fillId="0" borderId="0" xfId="3" applyFont="1" applyFill="1" applyBorder="1" applyAlignment="1" applyProtection="1">
      <alignment horizontal="center" vertical="center"/>
    </xf>
    <xf numFmtId="0" fontId="8" fillId="9" borderId="25" xfId="22" applyFont="1" applyFill="1" applyBorder="1" applyAlignment="1">
      <alignment vertical="center"/>
    </xf>
    <xf numFmtId="166" fontId="8" fillId="32" borderId="26" xfId="22" applyNumberFormat="1" applyFont="1" applyFill="1" applyBorder="1" applyAlignment="1">
      <alignment vertical="center"/>
    </xf>
    <xf numFmtId="0" fontId="8" fillId="9" borderId="26" xfId="22" applyFont="1" applyFill="1" applyBorder="1" applyAlignment="1">
      <alignment vertical="center"/>
    </xf>
    <xf numFmtId="0" fontId="8" fillId="5" borderId="27" xfId="22" applyFont="1" applyFill="1" applyBorder="1" applyAlignment="1">
      <alignment vertical="center"/>
    </xf>
    <xf numFmtId="0" fontId="8" fillId="0" borderId="0" xfId="22" applyFont="1" applyAlignment="1"/>
    <xf numFmtId="185" fontId="1" fillId="0" borderId="0" xfId="22" applyNumberFormat="1" applyFill="1" applyBorder="1" applyProtection="1"/>
    <xf numFmtId="0" fontId="8" fillId="9" borderId="7" xfId="22" applyFont="1" applyFill="1" applyBorder="1" applyAlignment="1">
      <alignment vertical="center"/>
    </xf>
    <xf numFmtId="166" fontId="8" fillId="32" borderId="1" xfId="22" applyNumberFormat="1" applyFont="1" applyFill="1" applyBorder="1" applyAlignment="1">
      <alignment vertical="center"/>
    </xf>
    <xf numFmtId="0" fontId="8" fillId="9" borderId="1" xfId="22" applyFont="1" applyFill="1" applyBorder="1" applyAlignment="1">
      <alignment vertical="center"/>
    </xf>
    <xf numFmtId="166" fontId="8" fillId="32" borderId="28" xfId="22" applyNumberFormat="1" applyFont="1" applyFill="1" applyBorder="1" applyAlignment="1">
      <alignment vertical="center"/>
    </xf>
    <xf numFmtId="0" fontId="8" fillId="32" borderId="29" xfId="22" applyFont="1" applyFill="1" applyBorder="1" applyAlignment="1"/>
    <xf numFmtId="0" fontId="8" fillId="9" borderId="7" xfId="22" applyFont="1" applyFill="1" applyBorder="1" applyAlignment="1">
      <alignment vertical="center" wrapText="1"/>
    </xf>
    <xf numFmtId="1" fontId="8" fillId="5" borderId="1" xfId="22" applyNumberFormat="1" applyFont="1" applyFill="1" applyBorder="1" applyAlignment="1">
      <alignment vertical="center"/>
    </xf>
    <xf numFmtId="0" fontId="8" fillId="9" borderId="1" xfId="22" applyFont="1" applyFill="1" applyBorder="1" applyAlignment="1">
      <alignment vertical="center" wrapText="1"/>
    </xf>
    <xf numFmtId="0" fontId="8" fillId="32" borderId="28" xfId="22" applyFont="1" applyFill="1" applyBorder="1" applyAlignment="1">
      <alignment vertical="center"/>
    </xf>
    <xf numFmtId="0" fontId="2" fillId="0" borderId="5" xfId="22" applyFont="1" applyFill="1" applyBorder="1" applyProtection="1"/>
    <xf numFmtId="168" fontId="2" fillId="0" borderId="5" xfId="22" applyNumberFormat="1" applyFont="1" applyFill="1" applyBorder="1" applyAlignment="1" applyProtection="1">
      <alignment horizontal="center" vertical="center"/>
    </xf>
    <xf numFmtId="0" fontId="8" fillId="9" borderId="16" xfId="22" applyFont="1" applyFill="1" applyBorder="1" applyAlignment="1">
      <alignment vertical="center" wrapText="1"/>
    </xf>
    <xf numFmtId="0" fontId="8" fillId="5" borderId="2" xfId="22" applyFont="1" applyFill="1" applyBorder="1" applyAlignment="1">
      <alignment vertical="center"/>
    </xf>
    <xf numFmtId="0" fontId="8" fillId="9" borderId="2" xfId="22" applyFont="1" applyFill="1" applyBorder="1" applyAlignment="1">
      <alignment vertical="center" wrapText="1"/>
    </xf>
    <xf numFmtId="0" fontId="8" fillId="5" borderId="30" xfId="22" applyFont="1" applyFill="1" applyBorder="1" applyAlignment="1">
      <alignment vertical="center"/>
    </xf>
    <xf numFmtId="0" fontId="4" fillId="12" borderId="0" xfId="22" applyFont="1" applyFill="1" applyBorder="1" applyProtection="1"/>
    <xf numFmtId="0" fontId="2" fillId="12" borderId="0" xfId="22" applyFont="1" applyFill="1" applyBorder="1" applyProtection="1"/>
    <xf numFmtId="0" fontId="2" fillId="12" borderId="6" xfId="22" applyFont="1" applyFill="1" applyBorder="1" applyProtection="1"/>
    <xf numFmtId="0" fontId="10" fillId="10" borderId="26" xfId="22" applyFont="1" applyFill="1" applyBorder="1" applyAlignment="1">
      <alignment horizontal="center" vertical="center" wrapText="1"/>
    </xf>
    <xf numFmtId="0" fontId="10" fillId="10" borderId="27" xfId="22" applyFont="1" applyFill="1" applyBorder="1" applyAlignment="1">
      <alignment horizontal="center" vertical="center" wrapText="1"/>
    </xf>
    <xf numFmtId="165" fontId="8" fillId="32" borderId="31" xfId="3" applyFont="1" applyFill="1" applyBorder="1" applyAlignment="1">
      <alignment vertical="center"/>
    </xf>
    <xf numFmtId="165" fontId="8" fillId="11" borderId="31" xfId="3" applyFont="1" applyFill="1" applyBorder="1" applyAlignment="1">
      <alignment vertical="center"/>
    </xf>
    <xf numFmtId="165" fontId="8" fillId="11" borderId="32" xfId="3" applyFont="1" applyFill="1" applyBorder="1" applyAlignment="1">
      <alignment vertical="center"/>
    </xf>
    <xf numFmtId="0" fontId="2" fillId="13" borderId="5" xfId="22" applyFont="1" applyFill="1" applyBorder="1" applyAlignment="1" applyProtection="1">
      <alignment horizontal="center"/>
    </xf>
    <xf numFmtId="0" fontId="2" fillId="13" borderId="5" xfId="22" applyFont="1" applyFill="1" applyBorder="1" applyAlignment="1" applyProtection="1">
      <alignment horizontal="center" vertical="center"/>
    </xf>
    <xf numFmtId="0" fontId="4" fillId="0" borderId="4" xfId="22" applyFont="1" applyFill="1" applyBorder="1" applyProtection="1"/>
    <xf numFmtId="170" fontId="2" fillId="0" borderId="4" xfId="22" applyNumberFormat="1" applyFont="1" applyFill="1" applyBorder="1" applyProtection="1"/>
    <xf numFmtId="168" fontId="2" fillId="14" borderId="4" xfId="22" applyNumberFormat="1" applyFont="1" applyFill="1" applyBorder="1" applyProtection="1"/>
    <xf numFmtId="170" fontId="2" fillId="15" borderId="4" xfId="22" applyNumberFormat="1" applyFont="1" applyFill="1" applyBorder="1" applyProtection="1"/>
    <xf numFmtId="0" fontId="2" fillId="15" borderId="4" xfId="22" applyFont="1" applyFill="1" applyBorder="1" applyProtection="1"/>
    <xf numFmtId="165" fontId="2" fillId="0" borderId="4" xfId="22" applyNumberFormat="1" applyFont="1" applyFill="1" applyBorder="1" applyProtection="1"/>
    <xf numFmtId="168" fontId="2" fillId="14" borderId="4" xfId="3" applyNumberFormat="1" applyFont="1" applyFill="1" applyBorder="1" applyProtection="1"/>
    <xf numFmtId="165" fontId="2" fillId="0" borderId="4" xfId="3" applyFont="1" applyFill="1" applyBorder="1" applyProtection="1"/>
    <xf numFmtId="168" fontId="2" fillId="16" borderId="4" xfId="22" applyNumberFormat="1" applyFont="1" applyFill="1" applyBorder="1" applyProtection="1"/>
    <xf numFmtId="170" fontId="2" fillId="16" borderId="4" xfId="22" applyNumberFormat="1" applyFont="1" applyFill="1" applyBorder="1" applyProtection="1"/>
    <xf numFmtId="165" fontId="2" fillId="15" borderId="4" xfId="22" applyNumberFormat="1" applyFont="1" applyFill="1" applyBorder="1" applyProtection="1"/>
    <xf numFmtId="170" fontId="2" fillId="0" borderId="4" xfId="6" applyNumberFormat="1" applyFont="1" applyFill="1" applyBorder="1" applyProtection="1"/>
    <xf numFmtId="165" fontId="2" fillId="5" borderId="4" xfId="22" applyNumberFormat="1" applyFont="1" applyFill="1" applyBorder="1" applyProtection="1"/>
    <xf numFmtId="172" fontId="1" fillId="0" borderId="0" xfId="22" applyNumberFormat="1" applyFill="1" applyBorder="1" applyProtection="1"/>
    <xf numFmtId="2" fontId="2" fillId="5" borderId="4" xfId="22" applyNumberFormat="1" applyFont="1" applyFill="1" applyBorder="1" applyProtection="1"/>
    <xf numFmtId="170" fontId="2" fillId="15" borderId="4" xfId="6" applyNumberFormat="1" applyFont="1" applyFill="1" applyBorder="1" applyProtection="1"/>
    <xf numFmtId="0" fontId="1" fillId="0" borderId="0" xfId="22" applyFill="1" applyBorder="1" applyAlignment="1" applyProtection="1">
      <alignment horizontal="center"/>
    </xf>
    <xf numFmtId="174" fontId="2" fillId="15" borderId="4" xfId="6" applyNumberFormat="1" applyFont="1" applyFill="1" applyBorder="1" applyProtection="1"/>
    <xf numFmtId="170" fontId="2" fillId="16" borderId="4" xfId="6" applyNumberFormat="1" applyFont="1" applyFill="1" applyBorder="1" applyProtection="1"/>
    <xf numFmtId="168" fontId="2" fillId="16" borderId="4" xfId="3" applyNumberFormat="1" applyFont="1" applyFill="1" applyBorder="1" applyProtection="1"/>
    <xf numFmtId="174" fontId="2" fillId="0" borderId="4" xfId="6" applyNumberFormat="1" applyFont="1" applyFill="1" applyBorder="1" applyProtection="1"/>
    <xf numFmtId="165" fontId="2" fillId="14" borderId="1" xfId="22" applyNumberFormat="1" applyFont="1" applyFill="1" applyBorder="1" applyProtection="1"/>
    <xf numFmtId="0" fontId="2" fillId="14" borderId="1" xfId="22" applyFont="1" applyFill="1" applyBorder="1" applyProtection="1"/>
    <xf numFmtId="167" fontId="2" fillId="0" borderId="4" xfId="22" applyNumberFormat="1" applyFont="1" applyFill="1" applyBorder="1" applyProtection="1"/>
    <xf numFmtId="174" fontId="2" fillId="0" borderId="4" xfId="22" applyNumberFormat="1" applyFont="1" applyFill="1" applyBorder="1" applyProtection="1"/>
    <xf numFmtId="164" fontId="2" fillId="0" borderId="4" xfId="22" applyNumberFormat="1" applyFont="1" applyFill="1" applyBorder="1" applyProtection="1"/>
    <xf numFmtId="4" fontId="1" fillId="0" borderId="0" xfId="22" applyNumberFormat="1" applyFill="1" applyBorder="1" applyProtection="1"/>
    <xf numFmtId="0" fontId="2" fillId="16" borderId="4" xfId="22" applyFont="1" applyFill="1" applyBorder="1" applyProtection="1"/>
    <xf numFmtId="0" fontId="4" fillId="14" borderId="8" xfId="22" applyFont="1" applyFill="1" applyBorder="1" applyAlignment="1" applyProtection="1">
      <alignment horizontal="left"/>
    </xf>
    <xf numFmtId="0" fontId="2" fillId="14" borderId="0" xfId="22" applyFont="1" applyFill="1" applyBorder="1" applyAlignment="1" applyProtection="1">
      <alignment horizontal="center" vertical="center"/>
    </xf>
    <xf numFmtId="0" fontId="2" fillId="14" borderId="9" xfId="22" applyFont="1" applyFill="1" applyBorder="1" applyAlignment="1" applyProtection="1">
      <alignment horizontal="center" vertical="center"/>
    </xf>
    <xf numFmtId="0" fontId="2" fillId="0" borderId="8" xfId="22" applyFont="1" applyFill="1" applyBorder="1" applyProtection="1"/>
    <xf numFmtId="165" fontId="2" fillId="16" borderId="2" xfId="22" applyNumberFormat="1" applyFont="1" applyFill="1" applyBorder="1" applyProtection="1"/>
    <xf numFmtId="174" fontId="2" fillId="16" borderId="2" xfId="6" applyNumberFormat="1" applyFont="1" applyFill="1" applyBorder="1" applyProtection="1"/>
    <xf numFmtId="165" fontId="2" fillId="0" borderId="2" xfId="22" applyNumberFormat="1" applyFont="1" applyFill="1" applyBorder="1" applyProtection="1"/>
    <xf numFmtId="165" fontId="2" fillId="16" borderId="4" xfId="22" applyNumberFormat="1" applyFont="1" applyFill="1" applyBorder="1" applyProtection="1"/>
    <xf numFmtId="174" fontId="2" fillId="16" borderId="4" xfId="6" applyNumberFormat="1" applyFont="1" applyFill="1" applyBorder="1" applyProtection="1"/>
    <xf numFmtId="0" fontId="4" fillId="14" borderId="10" xfId="22" applyFont="1" applyFill="1" applyBorder="1" applyProtection="1"/>
    <xf numFmtId="0" fontId="2" fillId="14" borderId="10" xfId="22" applyFont="1" applyFill="1" applyBorder="1" applyProtection="1"/>
    <xf numFmtId="168" fontId="2" fillId="0" borderId="2" xfId="22" applyNumberFormat="1" applyFont="1" applyFill="1" applyBorder="1" applyProtection="1"/>
    <xf numFmtId="168" fontId="2" fillId="0" borderId="5" xfId="22" applyNumberFormat="1" applyFont="1" applyFill="1" applyBorder="1" applyProtection="1"/>
    <xf numFmtId="0" fontId="2" fillId="14" borderId="6" xfId="22" applyFont="1" applyFill="1" applyBorder="1" applyAlignment="1" applyProtection="1">
      <alignment horizontal="center"/>
    </xf>
    <xf numFmtId="0" fontId="2" fillId="0" borderId="2" xfId="22" applyFont="1" applyFill="1" applyBorder="1" applyProtection="1"/>
    <xf numFmtId="0" fontId="4" fillId="14" borderId="1" xfId="22" applyFont="1" applyFill="1" applyBorder="1" applyProtection="1"/>
    <xf numFmtId="0" fontId="2" fillId="14" borderId="1" xfId="22" applyFont="1" applyFill="1" applyBorder="1" applyAlignment="1" applyProtection="1">
      <alignment horizontal="center"/>
    </xf>
    <xf numFmtId="0" fontId="2" fillId="5" borderId="4" xfId="22" applyFont="1" applyFill="1" applyBorder="1" applyProtection="1"/>
    <xf numFmtId="165" fontId="2" fillId="17" borderId="1" xfId="22" applyNumberFormat="1" applyFont="1" applyFill="1" applyBorder="1" applyProtection="1"/>
    <xf numFmtId="2" fontId="2" fillId="17" borderId="1" xfId="22" applyNumberFormat="1" applyFont="1" applyFill="1" applyBorder="1" applyAlignment="1" applyProtection="1">
      <alignment horizontal="center"/>
    </xf>
    <xf numFmtId="2" fontId="1" fillId="0" borderId="0" xfId="22" applyNumberFormat="1" applyFill="1" applyBorder="1" applyProtection="1"/>
    <xf numFmtId="0" fontId="37" fillId="33" borderId="38" xfId="0" applyFont="1" applyFill="1" applyBorder="1"/>
    <xf numFmtId="0" fontId="37" fillId="33" borderId="39" xfId="0" applyFont="1" applyFill="1" applyBorder="1"/>
    <xf numFmtId="0" fontId="37" fillId="0" borderId="36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37" xfId="0" applyFont="1" applyBorder="1" applyAlignment="1">
      <alignment horizontal="center"/>
    </xf>
    <xf numFmtId="0" fontId="37" fillId="0" borderId="36" xfId="0" applyFont="1" applyBorder="1"/>
    <xf numFmtId="0" fontId="37" fillId="0" borderId="0" xfId="0" applyFont="1"/>
    <xf numFmtId="0" fontId="37" fillId="0" borderId="0" xfId="0" applyFont="1" applyAlignment="1">
      <alignment horizontal="right"/>
    </xf>
    <xf numFmtId="0" fontId="37" fillId="0" borderId="37" xfId="0" applyFont="1" applyBorder="1"/>
    <xf numFmtId="0" fontId="37" fillId="0" borderId="41" xfId="0" applyFont="1" applyBorder="1"/>
    <xf numFmtId="0" fontId="37" fillId="0" borderId="42" xfId="0" applyFont="1" applyBorder="1"/>
    <xf numFmtId="0" fontId="37" fillId="0" borderId="43" xfId="0" applyFont="1" applyBorder="1"/>
    <xf numFmtId="0" fontId="37" fillId="33" borderId="38" xfId="0" applyFont="1" applyFill="1" applyBorder="1" applyAlignment="1">
      <alignment horizontal="center"/>
    </xf>
    <xf numFmtId="0" fontId="37" fillId="33" borderId="44" xfId="0" applyFont="1" applyFill="1" applyBorder="1" applyAlignment="1">
      <alignment horizontal="left"/>
    </xf>
    <xf numFmtId="0" fontId="37" fillId="33" borderId="45" xfId="0" applyFont="1" applyFill="1" applyBorder="1" applyAlignment="1">
      <alignment horizontal="center"/>
    </xf>
    <xf numFmtId="0" fontId="37" fillId="33" borderId="15" xfId="0" applyFont="1" applyFill="1" applyBorder="1" applyAlignment="1">
      <alignment horizontal="center"/>
    </xf>
    <xf numFmtId="0" fontId="0" fillId="0" borderId="36" xfId="0" applyBorder="1"/>
    <xf numFmtId="186" fontId="0" fillId="0" borderId="0" xfId="25" applyFont="1" applyBorder="1" applyAlignment="1">
      <alignment horizontal="center"/>
    </xf>
    <xf numFmtId="186" fontId="0" fillId="0" borderId="37" xfId="25" applyFont="1" applyBorder="1" applyAlignment="1">
      <alignment horizontal="center"/>
    </xf>
    <xf numFmtId="2" fontId="0" fillId="0" borderId="18" xfId="25" applyNumberFormat="1" applyFon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0" fontId="45" fillId="34" borderId="48" xfId="26" applyFont="1" applyFill="1" applyBorder="1"/>
    <xf numFmtId="0" fontId="37" fillId="33" borderId="49" xfId="0" applyFont="1" applyFill="1" applyBorder="1"/>
    <xf numFmtId="2" fontId="0" fillId="0" borderId="51" xfId="0" applyNumberFormat="1" applyBorder="1" applyAlignment="1">
      <alignment horizontal="center"/>
    </xf>
    <xf numFmtId="0" fontId="45" fillId="34" borderId="57" xfId="26" applyFont="1" applyFill="1" applyBorder="1"/>
    <xf numFmtId="0" fontId="37" fillId="0" borderId="17" xfId="0" applyFont="1" applyBorder="1"/>
    <xf numFmtId="2" fontId="0" fillId="0" borderId="17" xfId="0" applyNumberFormat="1" applyBorder="1"/>
    <xf numFmtId="0" fontId="0" fillId="0" borderId="17" xfId="0" applyBorder="1"/>
    <xf numFmtId="2" fontId="0" fillId="0" borderId="17" xfId="0" applyNumberFormat="1" applyBorder="1" applyAlignment="1">
      <alignment horizontal="center"/>
    </xf>
    <xf numFmtId="2" fontId="37" fillId="0" borderId="17" xfId="0" applyNumberFormat="1" applyFont="1" applyBorder="1"/>
    <xf numFmtId="0" fontId="0" fillId="0" borderId="18" xfId="0" applyBorder="1"/>
    <xf numFmtId="9" fontId="38" fillId="35" borderId="18" xfId="21" applyFont="1" applyFill="1" applyBorder="1" applyAlignment="1">
      <alignment horizontal="center"/>
    </xf>
    <xf numFmtId="2" fontId="38" fillId="35" borderId="18" xfId="0" applyNumberFormat="1" applyFont="1" applyFill="1" applyBorder="1" applyAlignment="1">
      <alignment horizontal="center"/>
    </xf>
    <xf numFmtId="10" fontId="0" fillId="0" borderId="18" xfId="21" applyNumberFormat="1" applyFont="1" applyFill="1" applyBorder="1" applyAlignment="1">
      <alignment horizontal="center"/>
    </xf>
    <xf numFmtId="9" fontId="0" fillId="0" borderId="18" xfId="21" applyFont="1" applyBorder="1" applyAlignment="1">
      <alignment horizontal="center"/>
    </xf>
    <xf numFmtId="10" fontId="0" fillId="0" borderId="18" xfId="21" applyNumberFormat="1" applyFont="1" applyBorder="1" applyAlignment="1">
      <alignment horizontal="center"/>
    </xf>
    <xf numFmtId="2" fontId="36" fillId="0" borderId="18" xfId="25" applyNumberFormat="1" applyFont="1" applyBorder="1" applyAlignment="1">
      <alignment horizontal="center"/>
    </xf>
    <xf numFmtId="0" fontId="37" fillId="0" borderId="18" xfId="0" applyFont="1" applyBorder="1"/>
    <xf numFmtId="2" fontId="0" fillId="0" borderId="18" xfId="25" applyNumberFormat="1" applyFont="1" applyFill="1" applyBorder="1" applyAlignment="1">
      <alignment horizontal="center"/>
    </xf>
    <xf numFmtId="9" fontId="0" fillId="35" borderId="18" xfId="21" applyFont="1" applyFill="1" applyBorder="1" applyAlignment="1">
      <alignment horizontal="center"/>
    </xf>
    <xf numFmtId="2" fontId="0" fillId="35" borderId="18" xfId="0" applyNumberFormat="1" applyFill="1" applyBorder="1" applyAlignment="1">
      <alignment horizontal="center"/>
    </xf>
    <xf numFmtId="10" fontId="0" fillId="34" borderId="18" xfId="21" applyNumberFormat="1" applyFont="1" applyFill="1" applyBorder="1" applyAlignment="1">
      <alignment horizontal="center"/>
    </xf>
    <xf numFmtId="2" fontId="37" fillId="0" borderId="18" xfId="25" applyNumberFormat="1" applyFont="1" applyBorder="1" applyAlignment="1">
      <alignment horizontal="center"/>
    </xf>
    <xf numFmtId="10" fontId="0" fillId="0" borderId="18" xfId="0" applyNumberFormat="1" applyBorder="1" applyAlignment="1">
      <alignment horizontal="center"/>
    </xf>
    <xf numFmtId="9" fontId="36" fillId="35" borderId="18" xfId="21" applyFont="1" applyFill="1" applyBorder="1" applyAlignment="1">
      <alignment horizontal="center"/>
    </xf>
    <xf numFmtId="10" fontId="0" fillId="0" borderId="0" xfId="21" applyNumberFormat="1" applyFont="1" applyBorder="1" applyAlignment="1">
      <alignment horizontal="center"/>
    </xf>
    <xf numFmtId="0" fontId="34" fillId="0" borderId="36" xfId="0" applyFont="1" applyBorder="1"/>
    <xf numFmtId="9" fontId="36" fillId="0" borderId="18" xfId="21" applyFont="1" applyBorder="1" applyAlignment="1">
      <alignment horizontal="center"/>
    </xf>
    <xf numFmtId="2" fontId="36" fillId="0" borderId="18" xfId="25" applyNumberFormat="1" applyFont="1" applyFill="1" applyBorder="1" applyAlignment="1">
      <alignment horizontal="center"/>
    </xf>
    <xf numFmtId="0" fontId="0" fillId="35" borderId="18" xfId="0" applyFill="1" applyBorder="1" applyAlignment="1">
      <alignment horizontal="center"/>
    </xf>
    <xf numFmtId="2" fontId="37" fillId="35" borderId="18" xfId="0" applyNumberFormat="1" applyFont="1" applyFill="1" applyBorder="1" applyAlignment="1">
      <alignment horizontal="center"/>
    </xf>
    <xf numFmtId="0" fontId="37" fillId="33" borderId="15" xfId="0" applyFont="1" applyFill="1" applyBorder="1" applyAlignment="1">
      <alignment vertical="center"/>
    </xf>
    <xf numFmtId="2" fontId="45" fillId="33" borderId="19" xfId="0" applyNumberFormat="1" applyFont="1" applyFill="1" applyBorder="1" applyAlignment="1">
      <alignment horizontal="center"/>
    </xf>
    <xf numFmtId="9" fontId="45" fillId="33" borderId="20" xfId="21" applyFont="1" applyFill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9" fontId="0" fillId="33" borderId="15" xfId="21" applyFont="1" applyFill="1" applyBorder="1" applyAlignment="1">
      <alignment horizontal="center"/>
    </xf>
    <xf numFmtId="2" fontId="36" fillId="0" borderId="15" xfId="25" applyNumberFormat="1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186" fontId="36" fillId="0" borderId="18" xfId="25" applyFont="1" applyFill="1" applyBorder="1" applyAlignment="1">
      <alignment horizontal="center"/>
    </xf>
    <xf numFmtId="0" fontId="37" fillId="33" borderId="15" xfId="0" applyFont="1" applyFill="1" applyBorder="1"/>
    <xf numFmtId="0" fontId="0" fillId="33" borderId="15" xfId="0" applyFill="1" applyBorder="1"/>
    <xf numFmtId="186" fontId="37" fillId="33" borderId="15" xfId="0" applyNumberFormat="1" applyFont="1" applyFill="1" applyBorder="1"/>
    <xf numFmtId="0" fontId="0" fillId="0" borderId="33" xfId="0" applyBorder="1"/>
    <xf numFmtId="0" fontId="0" fillId="35" borderId="17" xfId="0" applyFill="1" applyBorder="1"/>
    <xf numFmtId="186" fontId="37" fillId="35" borderId="17" xfId="0" applyNumberFormat="1" applyFont="1" applyFill="1" applyBorder="1"/>
    <xf numFmtId="2" fontId="0" fillId="0" borderId="18" xfId="0" applyNumberFormat="1" applyBorder="1"/>
    <xf numFmtId="0" fontId="0" fillId="35" borderId="18" xfId="0" applyFill="1" applyBorder="1"/>
    <xf numFmtId="186" fontId="37" fillId="35" borderId="18" xfId="0" applyNumberFormat="1" applyFont="1" applyFill="1" applyBorder="1"/>
    <xf numFmtId="2" fontId="0" fillId="0" borderId="18" xfId="25" applyNumberFormat="1" applyFont="1" applyFill="1" applyBorder="1"/>
    <xf numFmtId="186" fontId="0" fillId="0" borderId="56" xfId="25" applyFont="1" applyFill="1" applyBorder="1"/>
    <xf numFmtId="186" fontId="0" fillId="0" borderId="56" xfId="25" applyFont="1" applyFill="1" applyBorder="1" applyAlignment="1">
      <alignment horizontal="center"/>
    </xf>
    <xf numFmtId="0" fontId="0" fillId="0" borderId="56" xfId="0" applyBorder="1"/>
    <xf numFmtId="186" fontId="37" fillId="0" borderId="56" xfId="0" applyNumberFormat="1" applyFont="1" applyBorder="1"/>
    <xf numFmtId="0" fontId="37" fillId="33" borderId="19" xfId="0" applyFont="1" applyFill="1" applyBorder="1"/>
    <xf numFmtId="0" fontId="0" fillId="33" borderId="59" xfId="0" applyFill="1" applyBorder="1"/>
    <xf numFmtId="186" fontId="37" fillId="33" borderId="53" xfId="0" applyNumberFormat="1" applyFont="1" applyFill="1" applyBorder="1"/>
    <xf numFmtId="0" fontId="0" fillId="0" borderId="37" xfId="0" applyBorder="1"/>
    <xf numFmtId="0" fontId="0" fillId="33" borderId="15" xfId="0" applyFill="1" applyBorder="1" applyAlignment="1">
      <alignment horizontal="center"/>
    </xf>
    <xf numFmtId="186" fontId="0" fillId="35" borderId="15" xfId="0" applyNumberFormat="1" applyFill="1" applyBorder="1" applyAlignment="1">
      <alignment horizontal="center"/>
    </xf>
    <xf numFmtId="0" fontId="0" fillId="35" borderId="15" xfId="0" applyFill="1" applyBorder="1" applyAlignment="1">
      <alignment horizontal="center"/>
    </xf>
    <xf numFmtId="0" fontId="0" fillId="0" borderId="15" xfId="0" applyBorder="1"/>
    <xf numFmtId="10" fontId="0" fillId="34" borderId="15" xfId="21" applyNumberFormat="1" applyFont="1" applyFill="1" applyBorder="1" applyAlignment="1">
      <alignment horizontal="center"/>
    </xf>
    <xf numFmtId="0" fontId="37" fillId="33" borderId="58" xfId="0" applyFont="1" applyFill="1" applyBorder="1"/>
    <xf numFmtId="2" fontId="37" fillId="0" borderId="15" xfId="0" applyNumberFormat="1" applyFont="1" applyBorder="1" applyAlignment="1">
      <alignment horizontal="center"/>
    </xf>
    <xf numFmtId="0" fontId="0" fillId="33" borderId="58" xfId="0" applyFill="1" applyBorder="1"/>
    <xf numFmtId="0" fontId="5" fillId="0" borderId="0" xfId="1" applyFont="1" applyFill="1" applyAlignment="1">
      <alignment horizontal="center"/>
    </xf>
    <xf numFmtId="0" fontId="2" fillId="2" borderId="1" xfId="1" applyFont="1" applyFill="1" applyBorder="1" applyAlignment="1">
      <alignment horizontal="right" vertical="center"/>
    </xf>
    <xf numFmtId="0" fontId="4" fillId="2" borderId="1" xfId="1" applyFont="1" applyFill="1" applyBorder="1" applyAlignment="1">
      <alignment horizontal="right" vertical="center"/>
    </xf>
    <xf numFmtId="0" fontId="9" fillId="0" borderId="1" xfId="4" applyFont="1" applyBorder="1" applyAlignment="1">
      <alignment horizontal="right" vertical="center"/>
    </xf>
    <xf numFmtId="0" fontId="1" fillId="0" borderId="1" xfId="4" applyBorder="1"/>
    <xf numFmtId="0" fontId="6" fillId="8" borderId="1" xfId="1" applyFont="1" applyFill="1" applyBorder="1" applyAlignment="1">
      <alignment horizontal="center" vertical="center"/>
    </xf>
    <xf numFmtId="0" fontId="6" fillId="8" borderId="1" xfId="1" applyFont="1" applyFill="1" applyBorder="1" applyAlignment="1">
      <alignment horizontal="center" vertical="center" wrapText="1"/>
    </xf>
    <xf numFmtId="0" fontId="10" fillId="10" borderId="1" xfId="1" applyFont="1" applyFill="1" applyBorder="1" applyAlignment="1">
      <alignment horizontal="center" vertical="center" wrapText="1"/>
    </xf>
    <xf numFmtId="183" fontId="34" fillId="0" borderId="4" xfId="2" applyNumberFormat="1" applyFont="1" applyBorder="1" applyProtection="1"/>
    <xf numFmtId="0" fontId="1" fillId="0" borderId="3" xfId="4" applyBorder="1"/>
    <xf numFmtId="0" fontId="1" fillId="12" borderId="1" xfId="4" applyFill="1" applyBorder="1"/>
    <xf numFmtId="0" fontId="2" fillId="13" borderId="1" xfId="1" applyFont="1" applyFill="1" applyBorder="1" applyAlignment="1">
      <alignment horizontal="center" vertical="center"/>
    </xf>
    <xf numFmtId="183" fontId="34" fillId="0" borderId="2" xfId="1" applyNumberFormat="1" applyFont="1" applyFill="1" applyBorder="1"/>
    <xf numFmtId="183" fontId="34" fillId="0" borderId="4" xfId="4" applyNumberFormat="1" applyFont="1" applyBorder="1"/>
    <xf numFmtId="4" fontId="0" fillId="0" borderId="1" xfId="1" applyNumberFormat="1" applyFont="1" applyFill="1" applyBorder="1" applyAlignment="1">
      <alignment horizontal="center" vertical="center"/>
    </xf>
    <xf numFmtId="183" fontId="34" fillId="0" borderId="5" xfId="4" applyNumberFormat="1" applyFont="1" applyBorder="1"/>
    <xf numFmtId="0" fontId="1" fillId="0" borderId="2" xfId="4" applyBorder="1"/>
    <xf numFmtId="164" fontId="11" fillId="12" borderId="7" xfId="1" applyNumberFormat="1" applyFont="1" applyFill="1" applyBorder="1" applyAlignment="1">
      <alignment horizontal="right" vertical="center"/>
    </xf>
    <xf numFmtId="0" fontId="2" fillId="13" borderId="1" xfId="1" applyFont="1" applyFill="1" applyBorder="1" applyAlignment="1">
      <alignment horizontal="center"/>
    </xf>
    <xf numFmtId="173" fontId="0" fillId="0" borderId="1" xfId="1" applyNumberFormat="1" applyFont="1" applyFill="1" applyBorder="1" applyAlignment="1">
      <alignment horizontal="center" vertical="center"/>
    </xf>
    <xf numFmtId="0" fontId="0" fillId="0" borderId="1" xfId="1" applyFont="1" applyFill="1" applyBorder="1" applyAlignment="1">
      <alignment horizontal="center" vertical="center"/>
    </xf>
    <xf numFmtId="0" fontId="4" fillId="14" borderId="1" xfId="1" applyFont="1" applyFill="1" applyBorder="1" applyAlignment="1">
      <alignment horizontal="center" vertical="center"/>
    </xf>
    <xf numFmtId="0" fontId="4" fillId="14" borderId="1" xfId="1" applyFont="1" applyFill="1" applyBorder="1" applyAlignment="1">
      <alignment horizontal="left"/>
    </xf>
    <xf numFmtId="0" fontId="2" fillId="14" borderId="7" xfId="1" applyFont="1" applyFill="1" applyBorder="1" applyAlignment="1">
      <alignment horizontal="center"/>
    </xf>
    <xf numFmtId="0" fontId="1" fillId="5" borderId="1" xfId="4" applyFill="1" applyBorder="1"/>
    <xf numFmtId="0" fontId="1" fillId="14" borderId="1" xfId="4" applyFill="1" applyBorder="1"/>
    <xf numFmtId="0" fontId="1" fillId="0" borderId="5" xfId="4" applyBorder="1"/>
    <xf numFmtId="0" fontId="2" fillId="14" borderId="1" xfId="1" applyFont="1" applyFill="1" applyBorder="1" applyAlignment="1">
      <alignment horizontal="center"/>
    </xf>
    <xf numFmtId="0" fontId="1" fillId="5" borderId="5" xfId="4" applyFill="1" applyBorder="1"/>
    <xf numFmtId="0" fontId="9" fillId="0" borderId="1" xfId="8" applyFont="1" applyBorder="1" applyAlignment="1" applyProtection="1">
      <alignment horizontal="center" vertical="center" wrapText="1"/>
    </xf>
    <xf numFmtId="0" fontId="26" fillId="0" borderId="3" xfId="11" applyFont="1" applyBorder="1" applyAlignment="1" applyProtection="1">
      <alignment horizontal="left" wrapText="1"/>
    </xf>
    <xf numFmtId="0" fontId="0" fillId="19" borderId="1" xfId="11" applyFont="1" applyFill="1" applyBorder="1" applyAlignment="1" applyProtection="1">
      <alignment horizontal="center" vertical="center"/>
    </xf>
    <xf numFmtId="0" fontId="0" fillId="20" borderId="1" xfId="11" applyFont="1" applyFill="1" applyBorder="1" applyAlignment="1" applyProtection="1">
      <alignment horizontal="center" vertical="center"/>
    </xf>
    <xf numFmtId="177" fontId="0" fillId="19" borderId="1" xfId="6" applyNumberFormat="1" applyFont="1" applyFill="1" applyBorder="1" applyAlignment="1">
      <alignment horizontal="center" vertical="center" wrapText="1"/>
    </xf>
    <xf numFmtId="0" fontId="9" fillId="0" borderId="9" xfId="11" applyFont="1" applyBorder="1" applyAlignment="1" applyProtection="1">
      <alignment horizontal="center" wrapText="1"/>
    </xf>
    <xf numFmtId="0" fontId="0" fillId="20" borderId="1" xfId="11" applyFont="1" applyFill="1" applyBorder="1" applyAlignment="1" applyProtection="1">
      <alignment horizontal="left"/>
    </xf>
    <xf numFmtId="4" fontId="0" fillId="19" borderId="1" xfId="11" applyNumberFormat="1" applyFont="1" applyFill="1" applyBorder="1" applyAlignment="1" applyProtection="1">
      <alignment horizontal="center" vertical="center" wrapText="1"/>
    </xf>
    <xf numFmtId="0" fontId="0" fillId="0" borderId="1" xfId="11" applyFont="1" applyBorder="1" applyAlignment="1" applyProtection="1">
      <alignment horizontal="left"/>
    </xf>
    <xf numFmtId="0" fontId="27" fillId="23" borderId="1" xfId="15" applyFill="1" applyBorder="1" applyAlignment="1" applyProtection="1">
      <alignment horizontal="center" vertical="center"/>
    </xf>
    <xf numFmtId="0" fontId="22" fillId="0" borderId="2" xfId="17" applyFont="1" applyBorder="1" applyAlignment="1">
      <alignment horizontal="center"/>
    </xf>
    <xf numFmtId="0" fontId="29" fillId="0" borderId="4" xfId="17" applyBorder="1" applyAlignment="1">
      <alignment horizontal="center"/>
    </xf>
    <xf numFmtId="0" fontId="9" fillId="28" borderId="7" xfId="17" applyFont="1" applyFill="1" applyBorder="1" applyAlignment="1">
      <alignment horizontal="center"/>
    </xf>
    <xf numFmtId="0" fontId="31" fillId="29" borderId="1" xfId="19" applyFont="1" applyFill="1" applyBorder="1" applyAlignment="1">
      <alignment horizontal="center"/>
    </xf>
    <xf numFmtId="0" fontId="29" fillId="0" borderId="7" xfId="17" applyBorder="1"/>
    <xf numFmtId="0" fontId="29" fillId="0" borderId="1" xfId="17" applyBorder="1" applyAlignment="1">
      <alignment horizontal="center"/>
    </xf>
    <xf numFmtId="178" fontId="9" fillId="0" borderId="1" xfId="17" applyNumberFormat="1" applyFont="1" applyBorder="1" applyAlignment="1">
      <alignment horizontal="center"/>
    </xf>
    <xf numFmtId="0" fontId="9" fillId="28" borderId="1" xfId="17" applyFont="1" applyFill="1" applyBorder="1" applyAlignment="1">
      <alignment horizontal="left"/>
    </xf>
    <xf numFmtId="0" fontId="9" fillId="28" borderId="5" xfId="17" applyFont="1" applyFill="1" applyBorder="1" applyAlignment="1">
      <alignment horizontal="left" vertical="center"/>
    </xf>
    <xf numFmtId="0" fontId="9" fillId="28" borderId="5" xfId="17" applyFont="1" applyFill="1" applyBorder="1" applyAlignment="1">
      <alignment horizontal="center" vertical="center"/>
    </xf>
    <xf numFmtId="0" fontId="9" fillId="28" borderId="5" xfId="17" applyFont="1" applyFill="1" applyBorder="1" applyAlignment="1">
      <alignment horizontal="center"/>
    </xf>
    <xf numFmtId="0" fontId="29" fillId="28" borderId="1" xfId="17" applyFill="1" applyBorder="1" applyAlignment="1">
      <alignment horizontal="center"/>
    </xf>
    <xf numFmtId="0" fontId="29" fillId="0" borderId="5" xfId="17" applyBorder="1"/>
    <xf numFmtId="0" fontId="29" fillId="0" borderId="1" xfId="17" applyBorder="1"/>
    <xf numFmtId="0" fontId="29" fillId="14" borderId="1" xfId="23" applyFill="1" applyBorder="1"/>
    <xf numFmtId="0" fontId="2" fillId="14" borderId="1" xfId="22" applyFont="1" applyFill="1" applyBorder="1" applyAlignment="1" applyProtection="1">
      <alignment horizontal="center"/>
    </xf>
    <xf numFmtId="0" fontId="29" fillId="0" borderId="4" xfId="23" applyBorder="1"/>
    <xf numFmtId="0" fontId="29" fillId="5" borderId="4" xfId="23" applyFill="1" applyBorder="1"/>
    <xf numFmtId="2" fontId="1" fillId="0" borderId="1" xfId="22" applyNumberFormat="1" applyFill="1" applyBorder="1" applyAlignment="1" applyProtection="1">
      <alignment horizontal="center" vertical="center"/>
    </xf>
    <xf numFmtId="0" fontId="4" fillId="14" borderId="1" xfId="22" applyFont="1" applyFill="1" applyBorder="1" applyAlignment="1" applyProtection="1">
      <alignment horizontal="center" vertical="center"/>
    </xf>
    <xf numFmtId="0" fontId="4" fillId="14" borderId="1" xfId="22" applyFont="1" applyFill="1" applyBorder="1" applyAlignment="1" applyProtection="1">
      <alignment horizontal="left"/>
    </xf>
    <xf numFmtId="0" fontId="2" fillId="14" borderId="7" xfId="22" applyFont="1" applyFill="1" applyBorder="1" applyAlignment="1" applyProtection="1">
      <alignment horizontal="center"/>
    </xf>
    <xf numFmtId="0" fontId="29" fillId="0" borderId="2" xfId="23" applyBorder="1"/>
    <xf numFmtId="0" fontId="2" fillId="13" borderId="1" xfId="22" applyFont="1" applyFill="1" applyBorder="1" applyAlignment="1" applyProtection="1">
      <alignment horizontal="center" vertical="center"/>
    </xf>
    <xf numFmtId="0" fontId="2" fillId="13" borderId="1" xfId="22" applyFont="1" applyFill="1" applyBorder="1" applyAlignment="1" applyProtection="1">
      <alignment horizontal="center"/>
    </xf>
    <xf numFmtId="4" fontId="1" fillId="0" borderId="1" xfId="22" applyNumberFormat="1" applyFill="1" applyBorder="1" applyAlignment="1" applyProtection="1">
      <alignment horizontal="center" vertical="center"/>
    </xf>
    <xf numFmtId="173" fontId="1" fillId="0" borderId="1" xfId="22" applyNumberFormat="1" applyFill="1" applyBorder="1" applyAlignment="1" applyProtection="1">
      <alignment horizontal="center" vertical="center"/>
    </xf>
    <xf numFmtId="183" fontId="29" fillId="0" borderId="4" xfId="23" applyNumberFormat="1" applyBorder="1"/>
    <xf numFmtId="0" fontId="42" fillId="9" borderId="24" xfId="22" applyFont="1" applyFill="1" applyBorder="1" applyAlignment="1">
      <alignment horizontal="center" vertical="center" textRotation="47"/>
    </xf>
    <xf numFmtId="183" fontId="29" fillId="0" borderId="5" xfId="23" applyNumberFormat="1" applyBorder="1"/>
    <xf numFmtId="164" fontId="11" fillId="12" borderId="7" xfId="22" applyNumberFormat="1" applyFont="1" applyFill="1" applyBorder="1" applyAlignment="1" applyProtection="1">
      <alignment horizontal="right" vertical="center"/>
    </xf>
    <xf numFmtId="183" fontId="2" fillId="0" borderId="4" xfId="22" applyNumberFormat="1" applyFont="1" applyFill="1" applyBorder="1" applyProtection="1"/>
    <xf numFmtId="0" fontId="41" fillId="31" borderId="22" xfId="0" applyFont="1" applyFill="1" applyBorder="1" applyAlignment="1">
      <alignment horizontal="left" vertical="center" wrapText="1"/>
    </xf>
    <xf numFmtId="0" fontId="41" fillId="31" borderId="23" xfId="0" applyFont="1" applyFill="1" applyBorder="1" applyAlignment="1">
      <alignment horizontal="left" vertical="center" wrapText="1"/>
    </xf>
    <xf numFmtId="0" fontId="29" fillId="12" borderId="2" xfId="23" applyFill="1" applyBorder="1"/>
    <xf numFmtId="0" fontId="4" fillId="2" borderId="1" xfId="22" applyFont="1" applyFill="1" applyBorder="1" applyAlignment="1" applyProtection="1">
      <alignment horizontal="right" vertical="center"/>
    </xf>
    <xf numFmtId="0" fontId="2" fillId="2" borderId="1" xfId="22" applyFont="1" applyFill="1" applyBorder="1" applyAlignment="1" applyProtection="1">
      <alignment horizontal="right" vertical="center"/>
    </xf>
    <xf numFmtId="0" fontId="5" fillId="0" borderId="0" xfId="22" applyFont="1" applyFill="1" applyAlignment="1">
      <alignment horizontal="center"/>
    </xf>
    <xf numFmtId="0" fontId="0" fillId="0" borderId="19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20" xfId="0" applyBorder="1" applyAlignment="1">
      <alignment horizontal="center"/>
    </xf>
    <xf numFmtId="0" fontId="45" fillId="34" borderId="54" xfId="26" applyFont="1" applyFill="1" applyBorder="1" applyAlignment="1">
      <alignment horizontal="center"/>
    </xf>
    <xf numFmtId="0" fontId="45" fillId="34" borderId="55" xfId="26" applyFont="1" applyFill="1" applyBorder="1" applyAlignment="1">
      <alignment horizontal="center"/>
    </xf>
    <xf numFmtId="0" fontId="37" fillId="33" borderId="19" xfId="0" applyFont="1" applyFill="1" applyBorder="1" applyAlignment="1">
      <alignment horizontal="left"/>
    </xf>
    <xf numFmtId="0" fontId="37" fillId="33" borderId="58" xfId="0" applyFont="1" applyFill="1" applyBorder="1" applyAlignment="1">
      <alignment horizontal="left"/>
    </xf>
    <xf numFmtId="0" fontId="37" fillId="33" borderId="20" xfId="0" applyFont="1" applyFill="1" applyBorder="1" applyAlignment="1">
      <alignment horizontal="left"/>
    </xf>
    <xf numFmtId="0" fontId="0" fillId="33" borderId="19" xfId="0" applyFill="1" applyBorder="1" applyAlignment="1">
      <alignment horizontal="center"/>
    </xf>
    <xf numFmtId="0" fontId="0" fillId="33" borderId="20" xfId="0" applyFill="1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15" xfId="0" applyBorder="1" applyAlignment="1">
      <alignment horizontal="center"/>
    </xf>
    <xf numFmtId="186" fontId="37" fillId="0" borderId="49" xfId="0" applyNumberFormat="1" applyFont="1" applyBorder="1" applyAlignment="1">
      <alignment horizontal="center"/>
    </xf>
    <xf numFmtId="0" fontId="37" fillId="0" borderId="50" xfId="0" applyFont="1" applyBorder="1" applyAlignment="1">
      <alignment horizontal="center"/>
    </xf>
    <xf numFmtId="0" fontId="37" fillId="33" borderId="49" xfId="0" applyFont="1" applyFill="1" applyBorder="1" applyAlignment="1">
      <alignment horizontal="left"/>
    </xf>
    <xf numFmtId="0" fontId="37" fillId="33" borderId="50" xfId="0" applyFont="1" applyFill="1" applyBorder="1" applyAlignment="1">
      <alignment horizontal="left"/>
    </xf>
    <xf numFmtId="0" fontId="37" fillId="33" borderId="18" xfId="0" applyFont="1" applyFill="1" applyBorder="1" applyAlignment="1">
      <alignment horizontal="left" vertical="center"/>
    </xf>
    <xf numFmtId="0" fontId="37" fillId="33" borderId="56" xfId="0" applyFont="1" applyFill="1" applyBorder="1" applyAlignment="1">
      <alignment horizontal="left" vertical="center"/>
    </xf>
    <xf numFmtId="0" fontId="37" fillId="33" borderId="18" xfId="0" applyFont="1" applyFill="1" applyBorder="1" applyAlignment="1">
      <alignment horizontal="center" vertical="center"/>
    </xf>
    <xf numFmtId="0" fontId="37" fillId="33" borderId="56" xfId="0" applyFont="1" applyFill="1" applyBorder="1" applyAlignment="1">
      <alignment horizontal="center" vertical="center"/>
    </xf>
    <xf numFmtId="0" fontId="37" fillId="33" borderId="52" xfId="0" applyFont="1" applyFill="1" applyBorder="1" applyAlignment="1">
      <alignment horizontal="center"/>
    </xf>
    <xf numFmtId="0" fontId="37" fillId="33" borderId="53" xfId="0" applyFont="1" applyFill="1" applyBorder="1" applyAlignment="1">
      <alignment horizontal="center"/>
    </xf>
    <xf numFmtId="0" fontId="43" fillId="0" borderId="33" xfId="0" applyFont="1" applyBorder="1" applyAlignment="1">
      <alignment horizontal="center"/>
    </xf>
    <xf numFmtId="0" fontId="43" fillId="0" borderId="34" xfId="0" applyFont="1" applyBorder="1" applyAlignment="1">
      <alignment horizontal="center"/>
    </xf>
    <xf numFmtId="0" fontId="43" fillId="0" borderId="35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7" xfId="0" applyBorder="1" applyAlignment="1">
      <alignment horizontal="center"/>
    </xf>
    <xf numFmtId="0" fontId="37" fillId="33" borderId="39" xfId="0" applyFont="1" applyFill="1" applyBorder="1" applyAlignment="1">
      <alignment horizontal="center"/>
    </xf>
    <xf numFmtId="0" fontId="37" fillId="33" borderId="40" xfId="0" applyFont="1" applyFill="1" applyBorder="1" applyAlignment="1">
      <alignment horizontal="center"/>
    </xf>
    <xf numFmtId="0" fontId="37" fillId="0" borderId="39" xfId="0" applyFont="1" applyBorder="1" applyAlignment="1">
      <alignment horizontal="center"/>
    </xf>
    <xf numFmtId="0" fontId="37" fillId="0" borderId="40" xfId="0" applyFont="1" applyBorder="1" applyAlignment="1">
      <alignment horizontal="center"/>
    </xf>
    <xf numFmtId="0" fontId="45" fillId="34" borderId="46" xfId="26" applyFont="1" applyFill="1" applyBorder="1" applyAlignment="1">
      <alignment horizontal="center"/>
    </xf>
    <xf numFmtId="0" fontId="45" fillId="34" borderId="47" xfId="26" applyFont="1" applyFill="1" applyBorder="1" applyAlignment="1">
      <alignment horizontal="center"/>
    </xf>
    <xf numFmtId="0" fontId="43" fillId="0" borderId="6" xfId="1" applyFont="1" applyFill="1" applyBorder="1" applyAlignment="1">
      <alignment horizontal="center"/>
    </xf>
    <xf numFmtId="0" fontId="46" fillId="0" borderId="8" xfId="17" applyFont="1" applyBorder="1"/>
  </cellXfs>
  <cellStyles count="27">
    <cellStyle name="Default" xfId="22" xr:uid="{E24177F1-03D6-422B-BBFD-524CBEC46047}"/>
    <cellStyle name="Default 1" xfId="1" xr:uid="{7FB814BC-3682-4815-8FDF-3A145ED2402C}"/>
    <cellStyle name="Excel Built-in Currency" xfId="3" xr:uid="{96B84DF7-3C3B-449F-9806-9BA67E9A20B9}"/>
    <cellStyle name="Excel Built-in Percent" xfId="6" xr:uid="{C5129505-6FF3-44E3-B6A8-2FE8BC48505A}"/>
    <cellStyle name="Excel_BuiltIn_Comma" xfId="18" xr:uid="{0152203B-7100-4822-A21F-18ED51CEA1DE}"/>
    <cellStyle name="Excel_BuiltIn_Currency" xfId="7" xr:uid="{DA9A49FC-8A34-41AD-A47B-C292B6200139}"/>
    <cellStyle name="Excel_BuiltIn_Percent" xfId="20" xr:uid="{A586D0B8-84D6-49CF-9F5F-14A79FC94FD9}"/>
    <cellStyle name="Milliers 2" xfId="25" xr:uid="{1E1DE03A-3410-4135-ACE2-678EC43B246A}"/>
    <cellStyle name="Normal" xfId="0" builtinId="0"/>
    <cellStyle name="Normal 2" xfId="2" xr:uid="{3CA609D9-85D7-4EFC-B7C9-AC9035234A21}"/>
    <cellStyle name="Normal 2 2" xfId="5" xr:uid="{00329B29-97C9-47E7-B9E5-7B85ED36E578}"/>
    <cellStyle name="Normal 2 2 2" xfId="24" xr:uid="{08DFEA89-CD3A-4886-A2EC-D1C7FE977354}"/>
    <cellStyle name="Normal 2 3" xfId="23" xr:uid="{615C7895-ED39-4631-B075-9DA62B0AEEAF}"/>
    <cellStyle name="Normal 3" xfId="4" xr:uid="{2669E3D9-EC5B-48B2-8331-EE9D414B4958}"/>
    <cellStyle name="Normal 3 2" xfId="15" xr:uid="{0BB9917D-5036-40C2-887B-B31C5BFE797E}"/>
    <cellStyle name="Normal 4" xfId="9" xr:uid="{E9E38CB6-8C6C-4A57-83E1-E8A422BD1507}"/>
    <cellStyle name="Normal 4 2" xfId="11" xr:uid="{24D7ECB3-4F2E-4895-9207-C36E5019CE57}"/>
    <cellStyle name="Normal 5" xfId="12" xr:uid="{5B03C337-00A3-42D8-B0C2-FDAFE6BD08C6}"/>
    <cellStyle name="Normal 6" xfId="8" xr:uid="{A900361C-9EBF-4FF3-9FCC-F8839B62BDB9}"/>
    <cellStyle name="Normal 7" xfId="14" xr:uid="{C6D387A1-86AF-4292-8BAD-2DB3C09C635E}"/>
    <cellStyle name="Normal 8" xfId="16" xr:uid="{4AD4C6D9-D2C0-45A6-94E9-FDE5145A211F}"/>
    <cellStyle name="Normal 9" xfId="17" xr:uid="{E27A6546-79B0-4A21-A0FB-9EF9DB432596}"/>
    <cellStyle name="Normal_Fiche de paie TEPA plus 20 salariés 2" xfId="19" xr:uid="{8AE95E85-FAFF-420C-877A-982577C90FF7}"/>
    <cellStyle name="Normal_Fiche de paie TEPA plus 20 salariés 2 2" xfId="26" xr:uid="{128A4DBF-D430-4F37-B466-577D901F16FE}"/>
    <cellStyle name="Normal_SSPLAFON" xfId="10" xr:uid="{32385703-C0E5-43A3-B302-EBD1C4A63E69}"/>
    <cellStyle name="Normal_SSPLAFON 2" xfId="13" xr:uid="{0A418054-AEEC-46B9-A21E-AD4AB23F5DEB}"/>
    <cellStyle name="Pourcentage" xfId="2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orma1\enseigna\luccini\EUROFOAD\Activit&#233;%20PAIE\Basetaux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Jean-Michel\Titre%20Gestionnaire%20de%20paie\Ressources\Matrices%20Bulletins%20paie\A%20Matrice%20Paie%2001_201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Jean-Michel\Titre%20Gestionnaire%20de%20paie\Ressources\Matrices%20Bulletins%20paie\Matrice%20bulletins%20de%20paie%20base%202016_01%20jm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dbur\anofichiers1311\anosfichiers\a%20GDP\ASUPDI\GAP%20Etape01\GAP_E01_S03_I03demis\GAP_E01_S03_I03_cordemis13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TISATIONS"/>
      <sheetName val="saisie arrêt"/>
      <sheetName val="Non cadre TEPA plus 20 sal "/>
      <sheetName val="Cadre TEPA plus 20 sal"/>
      <sheetName val="Gérant plus 20 sal"/>
      <sheetName val="formules"/>
      <sheetName val="CADRE "/>
      <sheetName val="n_cadre"/>
      <sheetName val="cadre"/>
      <sheetName val="Basetaux"/>
      <sheetName val="Feuil1"/>
      <sheetName val="maquette"/>
      <sheetName val="maquette (2)"/>
      <sheetName val="maquette (3)"/>
      <sheetName val="Logement"/>
      <sheetName val="NC vierge"/>
      <sheetName val="Cadre vierge"/>
      <sheetName val="Gérant vierge"/>
      <sheetName val="IRENE 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che de paie"/>
      <sheetName val="PlafondSS"/>
      <sheetName val="SALAIRE DE REFERENCE"/>
      <sheetName val="Chomage partiel"/>
      <sheetName val="Cotisations"/>
      <sheetName val="Divers"/>
      <sheetName val="Modul PE"/>
      <sheetName val="Ancienneté"/>
      <sheetName val="Fillon mensuel"/>
      <sheetName val="Fillon annuel 2011"/>
      <sheetName val="HSuppl"/>
      <sheetName val="Sommes isolées"/>
      <sheetName val="CP"/>
      <sheetName val="IJSS"/>
      <sheetName val="Saisie_arret"/>
      <sheetName val="Absence_1"/>
      <sheetName val="Licenciement"/>
      <sheetName val="Aprentis"/>
      <sheetName val="Absences_0"/>
      <sheetName val="Absence_2"/>
      <sheetName val="Absence_3"/>
      <sheetName val="AvNature"/>
      <sheetName val="Carburant"/>
    </sheetNames>
    <sheetDataSet>
      <sheetData sheetId="0">
        <row r="41">
          <cell r="D41">
            <v>0</v>
          </cell>
        </row>
        <row r="47">
          <cell r="D47">
            <v>0</v>
          </cell>
          <cell r="F47">
            <v>0</v>
          </cell>
          <cell r="H47">
            <v>0</v>
          </cell>
        </row>
        <row r="48">
          <cell r="D48">
            <v>0</v>
          </cell>
          <cell r="F48">
            <v>0</v>
          </cell>
          <cell r="H48">
            <v>0</v>
          </cell>
        </row>
        <row r="49">
          <cell r="D49">
            <v>0</v>
          </cell>
          <cell r="F49">
            <v>0</v>
          </cell>
          <cell r="H49">
            <v>0</v>
          </cell>
        </row>
        <row r="50">
          <cell r="D50">
            <v>0</v>
          </cell>
          <cell r="F50">
            <v>0</v>
          </cell>
          <cell r="H50">
            <v>0</v>
          </cell>
        </row>
        <row r="51">
          <cell r="D51">
            <v>0</v>
          </cell>
          <cell r="F51">
            <v>0</v>
          </cell>
          <cell r="H51">
            <v>0</v>
          </cell>
        </row>
        <row r="52">
          <cell r="D52">
            <v>0</v>
          </cell>
          <cell r="F52">
            <v>0</v>
          </cell>
          <cell r="H52">
            <v>0</v>
          </cell>
        </row>
        <row r="53">
          <cell r="D53">
            <v>0</v>
          </cell>
          <cell r="F53">
            <v>0</v>
          </cell>
          <cell r="H53">
            <v>0</v>
          </cell>
        </row>
        <row r="54">
          <cell r="D54">
            <v>0</v>
          </cell>
          <cell r="F54">
            <v>0</v>
          </cell>
          <cell r="H54">
            <v>0</v>
          </cell>
        </row>
        <row r="55">
          <cell r="D55">
            <v>0</v>
          </cell>
          <cell r="F55">
            <v>0</v>
          </cell>
          <cell r="H55">
            <v>0</v>
          </cell>
        </row>
        <row r="56">
          <cell r="D56">
            <v>0</v>
          </cell>
          <cell r="F56">
            <v>0</v>
          </cell>
          <cell r="H56">
            <v>0</v>
          </cell>
        </row>
        <row r="57">
          <cell r="D57">
            <v>0</v>
          </cell>
          <cell r="F57">
            <v>0</v>
          </cell>
          <cell r="H57">
            <v>0</v>
          </cell>
        </row>
        <row r="58">
          <cell r="D58">
            <v>0</v>
          </cell>
          <cell r="F58">
            <v>0</v>
          </cell>
          <cell r="H58">
            <v>0</v>
          </cell>
        </row>
        <row r="59">
          <cell r="D59">
            <v>0</v>
          </cell>
          <cell r="F59">
            <v>0</v>
          </cell>
          <cell r="H59">
            <v>0</v>
          </cell>
        </row>
        <row r="60">
          <cell r="D60">
            <v>0</v>
          </cell>
          <cell r="F60">
            <v>0</v>
          </cell>
          <cell r="H60">
            <v>0</v>
          </cell>
        </row>
        <row r="61">
          <cell r="D61">
            <v>0</v>
          </cell>
          <cell r="F61" t="e">
            <v>#DIV/0!</v>
          </cell>
          <cell r="H61">
            <v>0</v>
          </cell>
        </row>
        <row r="62">
          <cell r="D62">
            <v>0</v>
          </cell>
          <cell r="F62">
            <v>0</v>
          </cell>
          <cell r="H62">
            <v>0</v>
          </cell>
        </row>
        <row r="63">
          <cell r="D63">
            <v>0</v>
          </cell>
          <cell r="F63">
            <v>0</v>
          </cell>
          <cell r="H63">
            <v>0</v>
          </cell>
        </row>
        <row r="64">
          <cell r="D64">
            <v>0</v>
          </cell>
          <cell r="F64">
            <v>0</v>
          </cell>
          <cell r="H64">
            <v>0</v>
          </cell>
        </row>
        <row r="65">
          <cell r="D65">
            <v>0</v>
          </cell>
          <cell r="F65">
            <v>0</v>
          </cell>
          <cell r="H65">
            <v>0</v>
          </cell>
        </row>
        <row r="66">
          <cell r="D66">
            <v>0</v>
          </cell>
          <cell r="F66">
            <v>0</v>
          </cell>
          <cell r="H66">
            <v>0</v>
          </cell>
        </row>
        <row r="67">
          <cell r="D67">
            <v>0</v>
          </cell>
          <cell r="F67">
            <v>0</v>
          </cell>
          <cell r="H67">
            <v>0</v>
          </cell>
        </row>
        <row r="68">
          <cell r="D68">
            <v>0</v>
          </cell>
          <cell r="F68">
            <v>0</v>
          </cell>
          <cell r="H68">
            <v>0</v>
          </cell>
        </row>
        <row r="69">
          <cell r="D69">
            <v>0</v>
          </cell>
          <cell r="F69">
            <v>0</v>
          </cell>
          <cell r="H69">
            <v>0</v>
          </cell>
        </row>
        <row r="70">
          <cell r="D70">
            <v>0</v>
          </cell>
          <cell r="F70">
            <v>0</v>
          </cell>
          <cell r="H70">
            <v>0</v>
          </cell>
        </row>
        <row r="71">
          <cell r="D71">
            <v>0</v>
          </cell>
          <cell r="F71">
            <v>0</v>
          </cell>
          <cell r="H71">
            <v>0</v>
          </cell>
        </row>
        <row r="72">
          <cell r="D72">
            <v>0</v>
          </cell>
          <cell r="F72">
            <v>0</v>
          </cell>
          <cell r="H72">
            <v>0</v>
          </cell>
        </row>
        <row r="73">
          <cell r="D73">
            <v>0</v>
          </cell>
          <cell r="F73">
            <v>0</v>
          </cell>
          <cell r="H73">
            <v>0</v>
          </cell>
        </row>
        <row r="74">
          <cell r="D74">
            <v>0</v>
          </cell>
          <cell r="F74">
            <v>0</v>
          </cell>
          <cell r="H74">
            <v>0</v>
          </cell>
        </row>
        <row r="75">
          <cell r="D75">
            <v>0</v>
          </cell>
          <cell r="F75">
            <v>0</v>
          </cell>
          <cell r="H75">
            <v>0</v>
          </cell>
        </row>
        <row r="76">
          <cell r="D76">
            <v>0</v>
          </cell>
          <cell r="F76">
            <v>0</v>
          </cell>
          <cell r="H76">
            <v>0</v>
          </cell>
        </row>
        <row r="77">
          <cell r="D77">
            <v>0</v>
          </cell>
          <cell r="F77">
            <v>0</v>
          </cell>
          <cell r="H77">
            <v>0</v>
          </cell>
        </row>
        <row r="78">
          <cell r="D78">
            <v>0</v>
          </cell>
          <cell r="F78">
            <v>0</v>
          </cell>
          <cell r="H78">
            <v>0</v>
          </cell>
        </row>
        <row r="79">
          <cell r="D79">
            <v>0</v>
          </cell>
          <cell r="F79">
            <v>0</v>
          </cell>
          <cell r="H79">
            <v>0</v>
          </cell>
        </row>
        <row r="80">
          <cell r="D80">
            <v>0</v>
          </cell>
          <cell r="F80">
            <v>0</v>
          </cell>
          <cell r="H80">
            <v>0</v>
          </cell>
        </row>
        <row r="81">
          <cell r="D81">
            <v>0</v>
          </cell>
          <cell r="F81">
            <v>0</v>
          </cell>
          <cell r="H81">
            <v>0</v>
          </cell>
        </row>
        <row r="82">
          <cell r="D82">
            <v>0</v>
          </cell>
          <cell r="F82">
            <v>0</v>
          </cell>
          <cell r="H82">
            <v>0</v>
          </cell>
        </row>
        <row r="83">
          <cell r="D83">
            <v>0</v>
          </cell>
          <cell r="F83">
            <v>0</v>
          </cell>
          <cell r="H83">
            <v>0</v>
          </cell>
        </row>
        <row r="84">
          <cell r="D84">
            <v>0</v>
          </cell>
          <cell r="F84">
            <v>0</v>
          </cell>
          <cell r="H84">
            <v>0</v>
          </cell>
        </row>
        <row r="85">
          <cell r="D85">
            <v>0</v>
          </cell>
          <cell r="F85">
            <v>0</v>
          </cell>
          <cell r="H85">
            <v>0</v>
          </cell>
        </row>
        <row r="86">
          <cell r="D86">
            <v>0</v>
          </cell>
          <cell r="F86">
            <v>0</v>
          </cell>
          <cell r="H86">
            <v>0</v>
          </cell>
        </row>
        <row r="87">
          <cell r="D87">
            <v>0</v>
          </cell>
          <cell r="F87">
            <v>0</v>
          </cell>
          <cell r="H87">
            <v>0</v>
          </cell>
        </row>
        <row r="88">
          <cell r="D88">
            <v>0</v>
          </cell>
          <cell r="F88">
            <v>0</v>
          </cell>
          <cell r="H88">
            <v>0</v>
          </cell>
        </row>
        <row r="89">
          <cell r="D89">
            <v>0</v>
          </cell>
          <cell r="F89">
            <v>0</v>
          </cell>
          <cell r="H89">
            <v>0</v>
          </cell>
        </row>
        <row r="90">
          <cell r="D90">
            <v>0</v>
          </cell>
          <cell r="F90">
            <v>0</v>
          </cell>
          <cell r="H90">
            <v>0</v>
          </cell>
        </row>
        <row r="91">
          <cell r="D91">
            <v>0</v>
          </cell>
          <cell r="F91">
            <v>0</v>
          </cell>
          <cell r="H91">
            <v>0</v>
          </cell>
        </row>
        <row r="92">
          <cell r="D92">
            <v>0</v>
          </cell>
          <cell r="F92">
            <v>0</v>
          </cell>
          <cell r="H92">
            <v>0</v>
          </cell>
        </row>
        <row r="93">
          <cell r="D93">
            <v>0</v>
          </cell>
          <cell r="F93">
            <v>0</v>
          </cell>
          <cell r="H93">
            <v>0</v>
          </cell>
        </row>
        <row r="94">
          <cell r="D94">
            <v>0</v>
          </cell>
          <cell r="F94">
            <v>0</v>
          </cell>
          <cell r="H94">
            <v>0</v>
          </cell>
        </row>
        <row r="95">
          <cell r="D95">
            <v>0</v>
          </cell>
          <cell r="F95">
            <v>0</v>
          </cell>
          <cell r="H95">
            <v>0</v>
          </cell>
        </row>
        <row r="96">
          <cell r="D96">
            <v>0</v>
          </cell>
          <cell r="F96">
            <v>0</v>
          </cell>
          <cell r="H96">
            <v>0</v>
          </cell>
        </row>
        <row r="97">
          <cell r="D97">
            <v>0</v>
          </cell>
          <cell r="F97">
            <v>0</v>
          </cell>
          <cell r="H97">
            <v>0</v>
          </cell>
        </row>
        <row r="98">
          <cell r="D98">
            <v>0</v>
          </cell>
          <cell r="F98">
            <v>0</v>
          </cell>
          <cell r="H98">
            <v>0</v>
          </cell>
        </row>
        <row r="99">
          <cell r="D99">
            <v>0</v>
          </cell>
          <cell r="F99">
            <v>0</v>
          </cell>
          <cell r="H99">
            <v>0</v>
          </cell>
        </row>
        <row r="100">
          <cell r="D100">
            <v>0</v>
          </cell>
          <cell r="F100">
            <v>0</v>
          </cell>
          <cell r="H100">
            <v>0</v>
          </cell>
        </row>
        <row r="101">
          <cell r="D101">
            <v>3129</v>
          </cell>
          <cell r="F101">
            <v>0</v>
          </cell>
          <cell r="H101">
            <v>0</v>
          </cell>
        </row>
        <row r="102">
          <cell r="D102">
            <v>0</v>
          </cell>
          <cell r="F102">
            <v>0</v>
          </cell>
          <cell r="H102">
            <v>0</v>
          </cell>
        </row>
        <row r="103">
          <cell r="F103">
            <v>0</v>
          </cell>
          <cell r="H103">
            <v>0</v>
          </cell>
        </row>
        <row r="104">
          <cell r="F104" t="e">
            <v>#DIV/0!</v>
          </cell>
          <cell r="H104">
            <v>0</v>
          </cell>
        </row>
        <row r="105">
          <cell r="H105">
            <v>0</v>
          </cell>
        </row>
        <row r="106">
          <cell r="D106">
            <v>0</v>
          </cell>
          <cell r="H106">
            <v>0</v>
          </cell>
        </row>
        <row r="107">
          <cell r="H107">
            <v>0</v>
          </cell>
        </row>
        <row r="108">
          <cell r="D108">
            <v>0</v>
          </cell>
          <cell r="H108">
            <v>0</v>
          </cell>
        </row>
        <row r="109">
          <cell r="H109">
            <v>0</v>
          </cell>
        </row>
        <row r="110">
          <cell r="H110">
            <v>0</v>
          </cell>
        </row>
        <row r="111">
          <cell r="H111">
            <v>0</v>
          </cell>
        </row>
        <row r="112">
          <cell r="H112">
            <v>0</v>
          </cell>
        </row>
        <row r="113">
          <cell r="H113">
            <v>0</v>
          </cell>
        </row>
        <row r="114">
          <cell r="H114">
            <v>0</v>
          </cell>
        </row>
        <row r="115">
          <cell r="H115">
            <v>0</v>
          </cell>
        </row>
        <row r="116">
          <cell r="H116">
            <v>0</v>
          </cell>
        </row>
        <row r="117">
          <cell r="H117">
            <v>0</v>
          </cell>
        </row>
        <row r="118">
          <cell r="H118">
            <v>0</v>
          </cell>
        </row>
        <row r="119">
          <cell r="H119">
            <v>0</v>
          </cell>
        </row>
        <row r="120">
          <cell r="H120">
            <v>0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</sheetData>
      <sheetData sheetId="1"/>
      <sheetData sheetId="2"/>
      <sheetData sheetId="3"/>
      <sheetData sheetId="4"/>
      <sheetData sheetId="5">
        <row r="15">
          <cell r="B15">
            <v>9.5299999999999994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33">
          <cell r="H33">
            <v>939.51981499999988</v>
          </cell>
        </row>
      </sheetData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taux"/>
      <sheetName val="TABCOTIS"/>
      <sheetName val="bullpaiemaitre"/>
      <sheetName val="Fillon"/>
      <sheetName val="PlafondSS"/>
      <sheetName val="Modul PE"/>
    </sheetNames>
    <sheetDataSet>
      <sheetData sheetId="0">
        <row r="22">
          <cell r="J22">
            <v>3218</v>
          </cell>
        </row>
        <row r="24">
          <cell r="C24">
            <v>0.12839999999999999</v>
          </cell>
          <cell r="E24">
            <v>7.4999999999999997E-3</v>
          </cell>
        </row>
        <row r="25">
          <cell r="C25">
            <v>3.0000000000000001E-3</v>
          </cell>
        </row>
        <row r="28">
          <cell r="C28">
            <v>5.2499999999999998E-2</v>
          </cell>
        </row>
        <row r="30">
          <cell r="C30">
            <v>1E-3</v>
          </cell>
        </row>
        <row r="32">
          <cell r="C32">
            <v>5.0000000000000001E-3</v>
          </cell>
        </row>
        <row r="33">
          <cell r="C33">
            <v>1.8499999999999999E-2</v>
          </cell>
          <cell r="E33">
            <v>3.5000000000000001E-3</v>
          </cell>
          <cell r="J33">
            <v>9.67</v>
          </cell>
        </row>
        <row r="34">
          <cell r="C34">
            <v>8.5500000000000007E-2</v>
          </cell>
          <cell r="E34">
            <v>6.9000000000000006E-2</v>
          </cell>
          <cell r="J34">
            <v>1466.65</v>
          </cell>
        </row>
        <row r="35">
          <cell r="E35">
            <v>5.0999999999999997E-2</v>
          </cell>
          <cell r="J35">
            <v>3549.24</v>
          </cell>
        </row>
        <row r="38">
          <cell r="C38">
            <v>0.08</v>
          </cell>
        </row>
        <row r="40">
          <cell r="C40">
            <v>0.04</v>
          </cell>
          <cell r="E40">
            <v>2.4E-2</v>
          </cell>
        </row>
        <row r="42">
          <cell r="C42">
            <v>2.5000000000000001E-3</v>
          </cell>
        </row>
        <row r="45">
          <cell r="C45">
            <v>4.65E-2</v>
          </cell>
          <cell r="E45">
            <v>3.1E-2</v>
          </cell>
        </row>
        <row r="46">
          <cell r="C46">
            <v>0.1215</v>
          </cell>
          <cell r="E46">
            <v>8.1000000000000003E-2</v>
          </cell>
        </row>
        <row r="47">
          <cell r="C47">
            <v>1.2E-2</v>
          </cell>
          <cell r="E47">
            <v>8.0000000000000002E-3</v>
          </cell>
        </row>
        <row r="48">
          <cell r="C48">
            <v>1.2999999999999999E-2</v>
          </cell>
          <cell r="E48">
            <v>8.9999999999999993E-3</v>
          </cell>
        </row>
        <row r="50">
          <cell r="C50">
            <v>4.65E-2</v>
          </cell>
          <cell r="E50">
            <v>3.1E-2</v>
          </cell>
        </row>
        <row r="51">
          <cell r="C51">
            <v>0.1275</v>
          </cell>
          <cell r="E51">
            <v>7.8E-2</v>
          </cell>
        </row>
        <row r="52">
          <cell r="C52">
            <v>1.2E-2</v>
          </cell>
          <cell r="E52">
            <v>8.0000000000000002E-3</v>
          </cell>
        </row>
        <row r="53">
          <cell r="C53">
            <v>1.2999999999999999E-2</v>
          </cell>
          <cell r="E53">
            <v>8.9999999999999993E-3</v>
          </cell>
        </row>
        <row r="54">
          <cell r="C54">
            <v>0.1275</v>
          </cell>
          <cell r="E54">
            <v>7.8E-2</v>
          </cell>
        </row>
        <row r="55">
          <cell r="C55">
            <v>0.1275</v>
          </cell>
          <cell r="E55">
            <v>7.8E-2</v>
          </cell>
        </row>
        <row r="56">
          <cell r="C56">
            <v>2.2000000000000001E-3</v>
          </cell>
          <cell r="E56">
            <v>1.2999999999999999E-3</v>
          </cell>
        </row>
        <row r="57">
          <cell r="C57">
            <v>3.6000000000000002E-4</v>
          </cell>
          <cell r="E57">
            <v>2.4000000000000001E-4</v>
          </cell>
        </row>
        <row r="59">
          <cell r="C59">
            <v>1.4999999999999999E-2</v>
          </cell>
        </row>
        <row r="63">
          <cell r="E63">
            <v>5.0000000000000001E-3</v>
          </cell>
        </row>
      </sheetData>
      <sheetData sheetId="1" refreshError="1"/>
      <sheetData sheetId="2">
        <row r="29">
          <cell r="L29">
            <v>0.28420000000000001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TISATIONS"/>
      <sheetName val="Fillon"/>
      <sheetName val="Non cadre 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A4329-CCBE-40A0-9687-6DADBD7F691C}">
  <dimension ref="A1:XFD129"/>
  <sheetViews>
    <sheetView tabSelected="1" topLeftCell="A43" workbookViewId="0">
      <selection activeCell="E62" sqref="E62"/>
    </sheetView>
  </sheetViews>
  <sheetFormatPr baseColWidth="10" defaultColWidth="12.140625" defaultRowHeight="14.25"/>
  <cols>
    <col min="1" max="1" width="63.28515625" style="6" customWidth="1"/>
    <col min="2" max="5" width="12.85546875" style="6" customWidth="1"/>
    <col min="6" max="6" width="17" style="6" customWidth="1"/>
    <col min="7" max="7" width="15.5703125" style="6" customWidth="1"/>
    <col min="8" max="9" width="12.85546875" style="6" customWidth="1"/>
    <col min="10" max="10" width="16.42578125" style="6" customWidth="1"/>
    <col min="11" max="16" width="12.85546875" style="6" customWidth="1"/>
    <col min="17" max="17" width="12.140625" style="6" customWidth="1"/>
    <col min="18" max="16384" width="12.140625" style="6"/>
  </cols>
  <sheetData>
    <row r="1" spans="1:16 16383:16384" ht="16.5">
      <c r="A1" s="1" t="s">
        <v>0</v>
      </c>
      <c r="B1" s="2">
        <v>13</v>
      </c>
      <c r="C1" s="3"/>
      <c r="D1" s="502" t="s">
        <v>1</v>
      </c>
      <c r="E1" s="502"/>
      <c r="F1" s="4">
        <v>11.65</v>
      </c>
      <c r="G1" s="5"/>
      <c r="H1" s="5"/>
      <c r="I1" s="5"/>
      <c r="J1" s="5"/>
      <c r="K1" s="5"/>
      <c r="L1" s="5"/>
      <c r="M1" s="5"/>
      <c r="N1" s="5"/>
      <c r="O1" s="5"/>
      <c r="P1" s="5"/>
    </row>
    <row r="2" spans="1:16 16383:16384" ht="16.5">
      <c r="A2" s="1" t="s">
        <v>2</v>
      </c>
      <c r="B2" s="7">
        <f>D34</f>
        <v>0</v>
      </c>
      <c r="C2" s="3"/>
      <c r="D2" s="503" t="s">
        <v>3</v>
      </c>
      <c r="E2" s="503"/>
      <c r="F2" s="8">
        <f>F1*151.67</f>
        <v>1766.9554999999998</v>
      </c>
      <c r="G2" s="5"/>
      <c r="H2" s="5"/>
      <c r="I2" s="5"/>
      <c r="J2" s="5"/>
      <c r="K2" s="5"/>
      <c r="L2" s="9" t="s">
        <v>4</v>
      </c>
      <c r="M2" s="5"/>
      <c r="N2" s="5"/>
      <c r="O2" s="5"/>
      <c r="P2" s="5"/>
    </row>
    <row r="3" spans="1:16 16383:16384" ht="16.5">
      <c r="A3" s="1" t="s">
        <v>5</v>
      </c>
      <c r="B3" s="10">
        <f>IF(B2&lt;F6,B2,F6)</f>
        <v>0</v>
      </c>
      <c r="C3" s="3"/>
      <c r="D3" s="502" t="s">
        <v>6</v>
      </c>
      <c r="E3" s="502"/>
      <c r="F3" s="11">
        <f>F2*1.6</f>
        <v>2827.1288</v>
      </c>
      <c r="G3" s="5"/>
      <c r="H3" s="5"/>
      <c r="I3" s="5"/>
      <c r="J3" s="5"/>
      <c r="K3" s="5"/>
      <c r="L3" s="9" t="s">
        <v>7</v>
      </c>
      <c r="M3" s="5"/>
      <c r="N3" s="5"/>
      <c r="O3" s="5"/>
      <c r="P3" s="5"/>
    </row>
    <row r="4" spans="1:16 16383:16384" ht="16.5">
      <c r="A4" s="1" t="s">
        <v>8</v>
      </c>
      <c r="B4" s="12">
        <f>IF(B2&lt;F7,B2-B3,F7-B3)</f>
        <v>0</v>
      </c>
      <c r="C4" s="3"/>
      <c r="D4" s="502" t="s">
        <v>9</v>
      </c>
      <c r="E4" s="502"/>
      <c r="F4" s="11">
        <f>F2*2.5</f>
        <v>4417.3887499999992</v>
      </c>
      <c r="G4" s="5"/>
      <c r="H4" s="5"/>
      <c r="I4" s="5"/>
      <c r="J4" s="5"/>
      <c r="K4" s="5"/>
      <c r="L4" s="5"/>
      <c r="M4" s="5"/>
      <c r="N4" s="5"/>
      <c r="O4" s="5"/>
      <c r="P4" s="5"/>
    </row>
    <row r="5" spans="1:16 16383:16384" ht="16.5">
      <c r="A5" s="1" t="s">
        <v>10</v>
      </c>
      <c r="B5" s="12">
        <f>IF(B2&lt;F6,B2,F6)</f>
        <v>0</v>
      </c>
      <c r="C5" s="3"/>
      <c r="D5" s="502" t="s">
        <v>11</v>
      </c>
      <c r="E5" s="502"/>
      <c r="F5" s="11">
        <f>F2*3.5</f>
        <v>6184.3442499999992</v>
      </c>
      <c r="G5" s="5"/>
      <c r="H5" s="5"/>
      <c r="I5" s="5"/>
      <c r="J5" s="501" t="s">
        <v>12</v>
      </c>
      <c r="K5" s="501"/>
      <c r="L5" s="501"/>
      <c r="M5" s="501"/>
      <c r="N5" s="501"/>
      <c r="O5" s="501"/>
      <c r="P5" s="501"/>
    </row>
    <row r="6" spans="1:16 16383:16384" ht="16.5">
      <c r="A6" s="1" t="s">
        <v>13</v>
      </c>
      <c r="B6" s="10">
        <f>IF(B2&lt;F8,B2-B5,F8-F6)</f>
        <v>0</v>
      </c>
      <c r="C6" s="3"/>
      <c r="D6" s="503" t="s">
        <v>14</v>
      </c>
      <c r="E6" s="503"/>
      <c r="F6" s="13">
        <v>3864</v>
      </c>
      <c r="G6" s="5"/>
      <c r="H6" s="5"/>
      <c r="I6" s="5"/>
      <c r="J6" s="14"/>
      <c r="K6" s="14"/>
      <c r="L6" s="14"/>
      <c r="M6" s="14"/>
      <c r="N6" s="14"/>
      <c r="O6" s="14"/>
      <c r="P6" s="14"/>
    </row>
    <row r="7" spans="1:16 16383:16384" ht="14.25" customHeight="1">
      <c r="A7" s="1" t="s">
        <v>15</v>
      </c>
      <c r="B7" s="10">
        <f>IF(B2&lt;F7,B2,F7)</f>
        <v>0</v>
      </c>
      <c r="C7" s="3"/>
      <c r="D7" s="502" t="s">
        <v>16</v>
      </c>
      <c r="E7" s="502"/>
      <c r="F7" s="11">
        <f>F6*4</f>
        <v>15456</v>
      </c>
      <c r="G7" s="5"/>
      <c r="H7" s="5"/>
      <c r="I7" s="5"/>
      <c r="J7" s="506" t="s">
        <v>17</v>
      </c>
      <c r="K7" s="507" t="s">
        <v>18</v>
      </c>
      <c r="L7" s="507" t="s">
        <v>19</v>
      </c>
      <c r="M7" s="507" t="s">
        <v>20</v>
      </c>
      <c r="N7" s="507" t="s">
        <v>21</v>
      </c>
      <c r="O7" s="507" t="s">
        <v>3</v>
      </c>
      <c r="XFD7" s="15"/>
    </row>
    <row r="8" spans="1:16 16383:16384" ht="16.5">
      <c r="A8" s="1" t="s">
        <v>22</v>
      </c>
      <c r="B8" s="10">
        <f>IF(B2&lt;F6,B2,F6)</f>
        <v>0</v>
      </c>
      <c r="C8" s="3"/>
      <c r="D8" s="502" t="s">
        <v>23</v>
      </c>
      <c r="E8" s="502"/>
      <c r="F8" s="11">
        <f>F6*8</f>
        <v>30912</v>
      </c>
      <c r="G8" s="5"/>
      <c r="H8" s="5"/>
      <c r="I8" s="5"/>
      <c r="J8" s="506"/>
      <c r="K8" s="507"/>
      <c r="L8" s="507"/>
      <c r="M8" s="507"/>
      <c r="N8" s="507"/>
      <c r="O8" s="507"/>
      <c r="XFD8" s="15"/>
    </row>
    <row r="9" spans="1:16 16383:16384" ht="16.5">
      <c r="A9" s="16" t="s">
        <v>24</v>
      </c>
      <c r="B9" s="17">
        <f>IF(B2&gt;F6,B3+B6,0)</f>
        <v>0</v>
      </c>
      <c r="C9" s="3"/>
      <c r="D9" s="502" t="s">
        <v>25</v>
      </c>
      <c r="E9" s="502"/>
      <c r="F9" s="18" t="s">
        <v>26</v>
      </c>
      <c r="G9" s="5"/>
      <c r="H9" s="5"/>
      <c r="I9" s="5"/>
      <c r="J9" s="19">
        <v>11.65</v>
      </c>
      <c r="K9" s="20">
        <v>151.66999999999999</v>
      </c>
      <c r="L9" s="20">
        <v>1550</v>
      </c>
      <c r="M9" s="21">
        <v>1200</v>
      </c>
      <c r="N9" s="21">
        <v>4</v>
      </c>
      <c r="O9" s="22">
        <f>(J9*K9)*(M9/L9)+(J9*N9)</f>
        <v>1414.5655483870964</v>
      </c>
      <c r="P9" s="5"/>
    </row>
    <row r="10" spans="1:16 16383:16384" ht="16.5">
      <c r="A10" s="1" t="s">
        <v>27</v>
      </c>
      <c r="B10" s="23">
        <f>D26+D27+D28</f>
        <v>0</v>
      </c>
      <c r="C10" s="3"/>
      <c r="D10" s="502" t="s">
        <v>28</v>
      </c>
      <c r="E10" s="502"/>
      <c r="F10" s="18" t="s">
        <v>29</v>
      </c>
      <c r="G10" s="5"/>
      <c r="H10" s="24"/>
      <c r="I10" s="5"/>
      <c r="J10" s="25"/>
      <c r="K10" s="5"/>
      <c r="L10" s="5"/>
      <c r="M10" s="5"/>
      <c r="N10" s="5"/>
      <c r="XFC10" s="15"/>
      <c r="XFD10" s="15"/>
    </row>
    <row r="11" spans="1:16 16383:16384" ht="16.149999999999999" customHeight="1">
      <c r="A11" s="26"/>
      <c r="B11" s="27"/>
      <c r="C11" s="3"/>
      <c r="D11" s="613" t="s">
        <v>307</v>
      </c>
      <c r="E11" s="613"/>
      <c r="F11" s="613"/>
      <c r="G11" s="5"/>
      <c r="H11" s="5"/>
      <c r="I11" s="25"/>
      <c r="J11" s="28" t="s">
        <v>30</v>
      </c>
      <c r="K11" s="29">
        <v>45047</v>
      </c>
      <c r="L11" s="28" t="s">
        <v>31</v>
      </c>
      <c r="M11" s="30">
        <f>DAY(EOMONTH(K11,0))</f>
        <v>31</v>
      </c>
      <c r="N11" s="31"/>
      <c r="XFC11" s="15"/>
      <c r="XFD11" s="15"/>
    </row>
    <row r="12" spans="1:16 16383:16384" ht="16.149999999999999" customHeight="1">
      <c r="A12" s="32" t="s">
        <v>32</v>
      </c>
      <c r="B12" s="504" t="s">
        <v>32</v>
      </c>
      <c r="C12" s="504"/>
      <c r="D12" s="505"/>
      <c r="E12" s="505"/>
      <c r="F12" s="505"/>
      <c r="G12" s="5"/>
      <c r="H12" s="5"/>
      <c r="I12" s="25"/>
      <c r="J12" s="28" t="s">
        <v>33</v>
      </c>
      <c r="K12" s="29">
        <v>45047</v>
      </c>
      <c r="L12" s="28" t="s">
        <v>34</v>
      </c>
      <c r="M12" s="29">
        <v>45077</v>
      </c>
      <c r="N12" s="31"/>
      <c r="XFC12" s="15"/>
      <c r="XFD12" s="15"/>
    </row>
    <row r="13" spans="1:16 16383:16384" ht="16.149999999999999" customHeight="1">
      <c r="A13" s="32" t="s">
        <v>35</v>
      </c>
      <c r="B13" s="504" t="s">
        <v>36</v>
      </c>
      <c r="C13" s="504"/>
      <c r="D13" s="505"/>
      <c r="E13" s="505"/>
      <c r="F13" s="505"/>
      <c r="G13" s="5"/>
      <c r="H13" s="5"/>
      <c r="I13" s="25"/>
      <c r="J13" s="33" t="s">
        <v>37</v>
      </c>
      <c r="K13" s="34">
        <f>DATEDIF(K12,M12,"md")+1</f>
        <v>31</v>
      </c>
      <c r="L13" s="33" t="s">
        <v>38</v>
      </c>
      <c r="M13" s="35">
        <v>0</v>
      </c>
      <c r="N13" s="31"/>
      <c r="XFC13" s="15"/>
      <c r="XFD13" s="15"/>
    </row>
    <row r="14" spans="1:16 16383:16384" ht="16.149999999999999" customHeight="1">
      <c r="A14" s="32" t="s">
        <v>39</v>
      </c>
      <c r="B14" s="504" t="s">
        <v>40</v>
      </c>
      <c r="C14" s="504"/>
      <c r="D14" s="505"/>
      <c r="E14" s="505"/>
      <c r="F14" s="505"/>
      <c r="G14" s="5"/>
      <c r="H14" s="5"/>
      <c r="I14" s="25"/>
      <c r="J14" s="33" t="s">
        <v>41</v>
      </c>
      <c r="K14" s="36">
        <v>91</v>
      </c>
      <c r="L14" s="37" t="s">
        <v>42</v>
      </c>
      <c r="M14" s="36">
        <v>6</v>
      </c>
      <c r="N14" s="31"/>
      <c r="XFC14" s="15"/>
      <c r="XFD14" s="15"/>
    </row>
    <row r="15" spans="1:16 16383:16384" ht="16.149999999999999" customHeight="1">
      <c r="A15" s="32" t="s">
        <v>43</v>
      </c>
      <c r="B15" s="504" t="s">
        <v>44</v>
      </c>
      <c r="C15" s="504"/>
      <c r="D15" s="505"/>
      <c r="E15" s="505"/>
      <c r="F15" s="505"/>
      <c r="G15" s="5"/>
      <c r="H15" s="5"/>
      <c r="I15" s="25"/>
      <c r="J15" s="508" t="s">
        <v>45</v>
      </c>
      <c r="K15" s="508" t="s">
        <v>46</v>
      </c>
      <c r="L15" s="508" t="s">
        <v>47</v>
      </c>
      <c r="M15" s="508" t="s">
        <v>48</v>
      </c>
      <c r="N15" s="31"/>
      <c r="XFC15" s="15"/>
      <c r="XFD15" s="15"/>
    </row>
    <row r="16" spans="1:16 16383:16384" ht="16.149999999999999" customHeight="1">
      <c r="A16" s="32" t="s">
        <v>49</v>
      </c>
      <c r="B16" s="504" t="s">
        <v>50</v>
      </c>
      <c r="C16" s="504"/>
      <c r="D16" s="505"/>
      <c r="E16" s="505"/>
      <c r="F16" s="505"/>
      <c r="G16" s="5"/>
      <c r="H16" s="5"/>
      <c r="I16" s="25"/>
      <c r="J16" s="508"/>
      <c r="K16" s="508"/>
      <c r="L16" s="508"/>
      <c r="M16" s="508"/>
      <c r="N16" s="31"/>
      <c r="XFC16" s="15"/>
      <c r="XFD16" s="15"/>
    </row>
    <row r="17" spans="1:16 16383:16383" ht="16.149999999999999" customHeight="1">
      <c r="A17" s="38" t="s">
        <v>51</v>
      </c>
      <c r="B17" s="504" t="s">
        <v>52</v>
      </c>
      <c r="C17" s="504"/>
      <c r="D17" s="505"/>
      <c r="E17" s="505"/>
      <c r="F17" s="505"/>
      <c r="G17" s="5"/>
      <c r="H17" s="5"/>
      <c r="I17" s="25"/>
      <c r="J17" s="39">
        <v>3864</v>
      </c>
      <c r="K17" s="40">
        <f>J17*((K13-M13)/M11)</f>
        <v>3864</v>
      </c>
      <c r="L17" s="40">
        <f>J17*((K14+M14)/151.67)</f>
        <v>2471.2072262148085</v>
      </c>
      <c r="M17" s="40">
        <f>J17*((K13-M13)/M11)*((K14+M14)/151.67)</f>
        <v>2471.2072262148085</v>
      </c>
      <c r="N17" s="31"/>
      <c r="XFC17" s="15"/>
    </row>
    <row r="18" spans="1:16 16383:16383" ht="15">
      <c r="A18" s="41" t="s">
        <v>53</v>
      </c>
      <c r="B18" s="15"/>
      <c r="C18" s="15"/>
      <c r="D18" s="510"/>
      <c r="E18" s="510"/>
      <c r="F18" s="510"/>
      <c r="G18" s="5"/>
      <c r="H18" s="24"/>
      <c r="I18" s="25"/>
      <c r="J18" s="5"/>
      <c r="K18" s="5"/>
      <c r="L18" s="5"/>
      <c r="M18" s="5"/>
      <c r="N18" s="42" t="s">
        <v>54</v>
      </c>
      <c r="XFC18" s="15"/>
    </row>
    <row r="19" spans="1:16 16383:16383" ht="16.5">
      <c r="A19" s="44" t="s">
        <v>55</v>
      </c>
      <c r="B19" s="45"/>
      <c r="C19" s="46" t="s">
        <v>56</v>
      </c>
      <c r="D19" s="511"/>
      <c r="E19" s="511"/>
      <c r="F19" s="511"/>
      <c r="G19" s="5"/>
      <c r="H19" s="5"/>
      <c r="I19" s="25"/>
      <c r="J19" s="25"/>
      <c r="K19" s="25"/>
      <c r="L19" s="25"/>
      <c r="M19" s="5"/>
      <c r="N19" s="31"/>
      <c r="XFC19" s="15"/>
    </row>
    <row r="20" spans="1:16 16383:16383" ht="16.5">
      <c r="A20" s="47" t="s">
        <v>57</v>
      </c>
      <c r="B20" s="47" t="s">
        <v>58</v>
      </c>
      <c r="C20" s="47" t="s">
        <v>59</v>
      </c>
      <c r="D20" s="512" t="s">
        <v>60</v>
      </c>
      <c r="E20" s="512"/>
      <c r="F20" s="512"/>
      <c r="G20" s="5"/>
      <c r="H20" s="5"/>
      <c r="I20" s="48"/>
      <c r="J20" s="25"/>
      <c r="K20" s="25"/>
      <c r="L20" s="25"/>
      <c r="M20" s="5"/>
      <c r="N20" s="31"/>
      <c r="XFC20" s="15"/>
    </row>
    <row r="21" spans="1:16 16383:16383" ht="16.5">
      <c r="A21" s="49" t="s">
        <v>61</v>
      </c>
      <c r="B21" s="288">
        <v>151.66999999999999</v>
      </c>
      <c r="C21" s="289">
        <f>D21/B21</f>
        <v>0</v>
      </c>
      <c r="D21" s="513">
        <v>0</v>
      </c>
      <c r="E21" s="513"/>
      <c r="F21" s="513"/>
      <c r="G21" s="5"/>
      <c r="H21" s="5"/>
      <c r="I21" s="25"/>
      <c r="J21" s="5"/>
      <c r="K21" s="5"/>
      <c r="L21" s="5"/>
      <c r="M21" s="5"/>
      <c r="N21" s="31"/>
      <c r="XFC21" s="15"/>
    </row>
    <row r="22" spans="1:16 16383:16383" ht="16.5">
      <c r="A22" s="49" t="s">
        <v>62</v>
      </c>
      <c r="B22" s="288"/>
      <c r="C22" s="289"/>
      <c r="D22" s="514"/>
      <c r="E22" s="514"/>
      <c r="F22" s="514"/>
      <c r="G22" s="5"/>
      <c r="H22" s="5"/>
      <c r="I22" s="25"/>
      <c r="J22" s="5"/>
      <c r="K22" s="5"/>
      <c r="L22" s="5"/>
      <c r="M22" s="5"/>
      <c r="N22" s="5"/>
      <c r="O22" s="5"/>
      <c r="P22" s="5"/>
    </row>
    <row r="23" spans="1:16 16383:16383" ht="16.5">
      <c r="A23" s="49" t="s">
        <v>63</v>
      </c>
      <c r="B23" s="288"/>
      <c r="C23" s="289"/>
      <c r="D23" s="509">
        <f>-B23*C23</f>
        <v>0</v>
      </c>
      <c r="E23" s="509"/>
      <c r="F23" s="509"/>
      <c r="G23" s="5"/>
      <c r="H23" s="5"/>
      <c r="I23" s="25"/>
      <c r="J23" s="5"/>
      <c r="K23" s="5"/>
      <c r="L23" s="5"/>
      <c r="M23" s="5"/>
      <c r="N23" s="5"/>
      <c r="O23" s="5"/>
      <c r="P23" s="5"/>
    </row>
    <row r="24" spans="1:16 16383:16383" ht="16.5">
      <c r="A24" s="49" t="s">
        <v>265</v>
      </c>
      <c r="B24" s="288"/>
      <c r="C24" s="289"/>
      <c r="D24" s="514"/>
      <c r="E24" s="514"/>
      <c r="F24" s="514"/>
      <c r="G24" s="5"/>
      <c r="H24" s="5"/>
      <c r="I24" s="25"/>
      <c r="J24" s="5"/>
      <c r="K24" s="5"/>
      <c r="L24" s="5"/>
      <c r="M24" s="5"/>
      <c r="N24" s="5"/>
      <c r="O24" s="5"/>
      <c r="P24" s="5"/>
    </row>
    <row r="25" spans="1:16 16383:16383" ht="16.5">
      <c r="A25" s="49"/>
      <c r="B25" s="288"/>
      <c r="C25" s="288"/>
      <c r="D25" s="514"/>
      <c r="E25" s="514"/>
      <c r="F25" s="514"/>
      <c r="G25" s="5"/>
      <c r="H25" s="5"/>
      <c r="I25" s="25"/>
      <c r="J25" s="5"/>
      <c r="K25" s="5"/>
      <c r="L25" s="5"/>
      <c r="M25" s="5"/>
      <c r="N25" s="5"/>
      <c r="O25" s="5"/>
      <c r="P25" s="5"/>
    </row>
    <row r="26" spans="1:16 16383:16383" ht="16.5">
      <c r="A26" s="49" t="s">
        <v>64</v>
      </c>
      <c r="B26" s="288"/>
      <c r="C26" s="289">
        <f>C21*1.1</f>
        <v>0</v>
      </c>
      <c r="D26" s="509">
        <f>B26*C26</f>
        <v>0</v>
      </c>
      <c r="E26" s="509"/>
      <c r="F26" s="509"/>
      <c r="G26" s="5"/>
      <c r="H26" s="5"/>
      <c r="I26" s="25"/>
      <c r="J26" s="5"/>
      <c r="K26" s="5"/>
      <c r="L26" s="5"/>
      <c r="M26" s="5"/>
      <c r="N26" s="5"/>
      <c r="O26" s="5"/>
      <c r="P26" s="5"/>
    </row>
    <row r="27" spans="1:16 16383:16383" ht="16.5">
      <c r="A27" s="49" t="s">
        <v>65</v>
      </c>
      <c r="B27" s="288"/>
      <c r="C27" s="289">
        <f>C21*1.25</f>
        <v>0</v>
      </c>
      <c r="D27" s="509">
        <f>B27*C27</f>
        <v>0</v>
      </c>
      <c r="E27" s="509"/>
      <c r="F27" s="509"/>
      <c r="G27" s="5"/>
      <c r="H27" s="5"/>
      <c r="I27" s="25"/>
      <c r="J27" s="5"/>
      <c r="K27" s="5"/>
      <c r="L27" s="5"/>
      <c r="M27" s="5"/>
      <c r="N27" s="5"/>
      <c r="O27" s="5"/>
      <c r="P27" s="5"/>
    </row>
    <row r="28" spans="1:16 16383:16383" ht="16.5">
      <c r="A28" s="49" t="s">
        <v>66</v>
      </c>
      <c r="B28" s="288"/>
      <c r="C28" s="289">
        <f>C21*1.5</f>
        <v>0</v>
      </c>
      <c r="D28" s="509">
        <f>B28*C28</f>
        <v>0</v>
      </c>
      <c r="E28" s="509"/>
      <c r="F28" s="509"/>
      <c r="G28" s="51"/>
      <c r="H28" s="286"/>
      <c r="I28" s="25"/>
      <c r="J28" s="5"/>
      <c r="K28" s="5"/>
      <c r="L28" s="5"/>
      <c r="M28" s="5"/>
      <c r="N28" s="5"/>
      <c r="O28" s="5"/>
      <c r="P28" s="5"/>
    </row>
    <row r="29" spans="1:16 16383:16383" ht="16.5">
      <c r="A29" s="49"/>
      <c r="B29" s="288"/>
      <c r="C29" s="288"/>
      <c r="D29" s="514"/>
      <c r="E29" s="514"/>
      <c r="F29" s="514"/>
      <c r="G29" s="5"/>
      <c r="H29" s="5"/>
      <c r="I29" s="25"/>
      <c r="J29" s="5"/>
      <c r="K29" s="5"/>
      <c r="L29" s="5"/>
      <c r="M29" s="5"/>
      <c r="N29" s="5"/>
      <c r="O29" s="5"/>
      <c r="P29" s="5"/>
    </row>
    <row r="30" spans="1:16 16383:16383" ht="16.5">
      <c r="A30" s="49" t="s">
        <v>67</v>
      </c>
      <c r="B30" s="288"/>
      <c r="C30" s="288"/>
      <c r="D30" s="514"/>
      <c r="E30" s="514"/>
      <c r="F30" s="514"/>
      <c r="G30" s="5"/>
      <c r="H30" s="5"/>
      <c r="I30" s="25"/>
      <c r="J30" s="5"/>
      <c r="K30" s="5"/>
      <c r="L30" s="5"/>
      <c r="M30" s="5"/>
      <c r="N30" s="5"/>
      <c r="O30" s="5"/>
      <c r="P30" s="5"/>
    </row>
    <row r="31" spans="1:16 16383:16383" ht="16.5">
      <c r="A31" s="49" t="s">
        <v>264</v>
      </c>
      <c r="B31" s="288"/>
      <c r="C31" s="288"/>
      <c r="D31" s="514"/>
      <c r="E31" s="514"/>
      <c r="F31" s="514"/>
      <c r="G31" s="53"/>
      <c r="H31" s="5"/>
      <c r="I31" s="25"/>
      <c r="J31" s="5"/>
      <c r="K31" s="5"/>
      <c r="L31" s="5"/>
      <c r="M31" s="5"/>
      <c r="N31" s="5"/>
      <c r="O31" s="5"/>
      <c r="P31" s="5"/>
    </row>
    <row r="32" spans="1:16 16383:16383" ht="16.5">
      <c r="A32" s="49"/>
      <c r="B32" s="288"/>
      <c r="C32" s="288"/>
      <c r="D32" s="514"/>
      <c r="E32" s="514"/>
      <c r="F32" s="514"/>
      <c r="G32" s="5"/>
      <c r="H32" s="54"/>
      <c r="I32" s="25"/>
      <c r="J32" s="5"/>
      <c r="K32" s="5"/>
      <c r="L32" s="5"/>
      <c r="M32" s="5"/>
      <c r="N32" s="5"/>
      <c r="O32" s="5"/>
      <c r="P32" s="5"/>
    </row>
    <row r="33" spans="1:16" ht="16.5">
      <c r="A33" s="55" t="s">
        <v>68</v>
      </c>
      <c r="B33" s="290"/>
      <c r="C33" s="290"/>
      <c r="D33" s="516"/>
      <c r="E33" s="516"/>
      <c r="F33" s="516"/>
      <c r="G33" s="5"/>
      <c r="H33" s="54"/>
      <c r="I33" s="25"/>
      <c r="J33" s="5"/>
      <c r="K33" s="5"/>
      <c r="L33" s="5"/>
      <c r="M33" s="5"/>
      <c r="N33" s="5"/>
      <c r="O33" s="5"/>
      <c r="P33" s="5"/>
    </row>
    <row r="34" spans="1:16" ht="16.5">
      <c r="A34" s="56" t="s">
        <v>69</v>
      </c>
      <c r="B34" s="57"/>
      <c r="C34" s="58"/>
      <c r="D34" s="518">
        <f>SUM(D21:F33)</f>
        <v>0</v>
      </c>
      <c r="E34" s="518"/>
      <c r="F34" s="518"/>
      <c r="G34" s="5"/>
      <c r="H34" s="5"/>
      <c r="I34" s="25"/>
      <c r="J34" s="5"/>
      <c r="K34" s="5"/>
      <c r="L34" s="5"/>
      <c r="M34" s="5"/>
      <c r="N34" s="5"/>
      <c r="O34" s="5"/>
      <c r="P34" s="5"/>
    </row>
    <row r="35" spans="1:16" ht="16.5">
      <c r="A35" s="512" t="s">
        <v>70</v>
      </c>
      <c r="B35" s="512" t="s">
        <v>58</v>
      </c>
      <c r="C35" s="512" t="s">
        <v>71</v>
      </c>
      <c r="D35" s="512"/>
      <c r="E35" s="519" t="s">
        <v>72</v>
      </c>
      <c r="F35" s="519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spans="1:16" ht="16.5">
      <c r="A36" s="512"/>
      <c r="B36" s="512"/>
      <c r="C36" s="59" t="s">
        <v>59</v>
      </c>
      <c r="D36" s="59" t="s">
        <v>73</v>
      </c>
      <c r="E36" s="60" t="s">
        <v>59</v>
      </c>
      <c r="F36" s="60" t="s">
        <v>73</v>
      </c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1:16" ht="16.5">
      <c r="A37" s="61" t="s">
        <v>74</v>
      </c>
      <c r="B37" s="49"/>
      <c r="C37" s="62"/>
      <c r="D37" s="49"/>
      <c r="E37" s="62"/>
      <c r="F37" s="49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spans="1:16" ht="16.5">
      <c r="A38" s="49" t="s">
        <v>75</v>
      </c>
      <c r="B38" s="63">
        <f>B2</f>
        <v>0</v>
      </c>
      <c r="C38" s="64"/>
      <c r="D38" s="65"/>
      <c r="E38" s="62">
        <v>7.0000000000000007E-2</v>
      </c>
      <c r="F38" s="66">
        <f>B38*E38</f>
        <v>0</v>
      </c>
      <c r="G38" s="5"/>
      <c r="H38" s="5"/>
      <c r="I38" s="25"/>
      <c r="J38" s="5"/>
      <c r="K38" s="5"/>
      <c r="L38" s="5"/>
      <c r="M38" s="5"/>
      <c r="N38" s="5"/>
      <c r="O38" s="5"/>
      <c r="P38" s="5"/>
    </row>
    <row r="39" spans="1:16" ht="16.5">
      <c r="A39" s="49" t="s">
        <v>76</v>
      </c>
      <c r="B39" s="67">
        <f>IF(B2&lt;F4,0,B2)</f>
        <v>0</v>
      </c>
      <c r="C39" s="64"/>
      <c r="D39" s="65"/>
      <c r="E39" s="62">
        <v>0.06</v>
      </c>
      <c r="F39" s="68">
        <f>B39*E39</f>
        <v>0</v>
      </c>
      <c r="G39" s="5"/>
      <c r="H39" s="5"/>
      <c r="I39" s="25"/>
      <c r="J39" s="5"/>
      <c r="K39" s="5"/>
      <c r="L39" s="5"/>
      <c r="M39" s="5"/>
      <c r="N39" s="5"/>
      <c r="O39" s="5"/>
      <c r="P39" s="5"/>
    </row>
    <row r="40" spans="1:16" ht="16.5">
      <c r="A40" s="49" t="s">
        <v>77</v>
      </c>
      <c r="B40" s="69"/>
      <c r="C40" s="64"/>
      <c r="D40" s="65"/>
      <c r="E40" s="70">
        <v>0.06</v>
      </c>
      <c r="F40" s="68">
        <f>B40*E40</f>
        <v>0</v>
      </c>
      <c r="G40" s="5"/>
      <c r="H40" s="5"/>
      <c r="I40" s="5"/>
      <c r="J40" s="5"/>
      <c r="K40" s="5"/>
      <c r="L40" s="5"/>
      <c r="M40" s="5"/>
      <c r="N40" s="5"/>
      <c r="O40" s="5"/>
      <c r="P40" s="5"/>
    </row>
    <row r="41" spans="1:16" ht="16.5">
      <c r="A41" s="49" t="s">
        <v>78</v>
      </c>
      <c r="B41" s="69">
        <v>0</v>
      </c>
      <c r="C41" s="70">
        <v>0</v>
      </c>
      <c r="D41" s="66">
        <f>C41*B41</f>
        <v>0</v>
      </c>
      <c r="E41" s="70">
        <v>0</v>
      </c>
      <c r="F41" s="66">
        <f>B41*E41</f>
        <v>0</v>
      </c>
      <c r="G41" s="5"/>
      <c r="H41" s="5"/>
      <c r="I41" s="5"/>
      <c r="J41" s="5"/>
      <c r="K41" s="5"/>
      <c r="L41" s="5"/>
      <c r="M41" s="5"/>
      <c r="N41" s="5"/>
      <c r="O41" s="5"/>
      <c r="P41" s="5"/>
    </row>
    <row r="42" spans="1:16" ht="16.5">
      <c r="A42" s="49" t="s">
        <v>79</v>
      </c>
      <c r="B42" s="69">
        <f>B3</f>
        <v>0</v>
      </c>
      <c r="C42" s="64"/>
      <c r="D42" s="71"/>
      <c r="E42" s="72">
        <f>IF(F10="cadre",1.5%,0%)</f>
        <v>1.4999999999999999E-2</v>
      </c>
      <c r="F42" s="66">
        <f>B42*E42</f>
        <v>0</v>
      </c>
      <c r="G42" s="5"/>
      <c r="H42" s="5"/>
      <c r="I42" s="5"/>
      <c r="J42" s="5"/>
      <c r="K42" s="5"/>
      <c r="L42" s="5"/>
      <c r="M42" s="5"/>
      <c r="N42" s="5"/>
      <c r="O42" s="5"/>
      <c r="P42" s="5"/>
    </row>
    <row r="43" spans="1:16" ht="16.5">
      <c r="A43" s="49"/>
      <c r="B43" s="50"/>
      <c r="C43" s="62"/>
      <c r="D43" s="49"/>
      <c r="E43" s="62"/>
      <c r="F43" s="49"/>
      <c r="G43" s="5"/>
      <c r="H43" s="52"/>
      <c r="I43" s="5"/>
      <c r="J43" s="5"/>
      <c r="K43" s="5"/>
      <c r="L43" s="5"/>
      <c r="M43" s="5"/>
      <c r="N43" s="5"/>
      <c r="O43" s="5"/>
      <c r="P43" s="5"/>
    </row>
    <row r="44" spans="1:16" ht="16.5">
      <c r="A44" s="61" t="s">
        <v>80</v>
      </c>
      <c r="B44" s="50">
        <f>D34</f>
        <v>0</v>
      </c>
      <c r="C44" s="64"/>
      <c r="D44" s="65"/>
      <c r="E44" s="70">
        <v>0</v>
      </c>
      <c r="F44" s="68">
        <f>B44*E44</f>
        <v>0</v>
      </c>
      <c r="G44" s="5"/>
      <c r="H44" s="52"/>
      <c r="I44" s="5"/>
      <c r="J44" s="5"/>
      <c r="K44" s="5"/>
      <c r="L44" s="5"/>
      <c r="M44" s="5"/>
      <c r="N44" s="5"/>
      <c r="O44" s="5"/>
      <c r="P44" s="5"/>
    </row>
    <row r="45" spans="1:16" ht="16.5">
      <c r="A45" s="49"/>
      <c r="B45" s="50"/>
      <c r="C45" s="62"/>
      <c r="D45" s="49"/>
      <c r="E45" s="62"/>
      <c r="F45" s="49"/>
      <c r="G45" s="5"/>
      <c r="H45" s="52"/>
      <c r="I45" s="5"/>
      <c r="J45" s="5"/>
      <c r="K45" s="5"/>
      <c r="L45" s="5"/>
      <c r="M45" s="5"/>
      <c r="N45" s="5"/>
      <c r="O45" s="5"/>
      <c r="P45" s="5"/>
    </row>
    <row r="46" spans="1:16" ht="16.5">
      <c r="A46" s="61" t="s">
        <v>81</v>
      </c>
      <c r="B46" s="50"/>
      <c r="C46" s="62"/>
      <c r="D46" s="49"/>
      <c r="E46" s="62"/>
      <c r="F46" s="49"/>
      <c r="G46" s="5"/>
      <c r="H46" s="5"/>
      <c r="I46" s="5"/>
      <c r="J46" s="5"/>
      <c r="K46" s="5"/>
      <c r="L46" s="5"/>
      <c r="M46" s="5"/>
      <c r="N46" s="5"/>
      <c r="O46" s="5"/>
      <c r="P46" s="5"/>
    </row>
    <row r="47" spans="1:16" ht="16.5">
      <c r="A47" s="49" t="s">
        <v>82</v>
      </c>
      <c r="B47" s="63">
        <f>B3</f>
        <v>0</v>
      </c>
      <c r="C47" s="62">
        <v>6.9000000000000006E-2</v>
      </c>
      <c r="D47" s="66">
        <f t="shared" ref="D47:D53" si="0">B47*C47</f>
        <v>0</v>
      </c>
      <c r="E47" s="62">
        <v>8.5500000000000007E-2</v>
      </c>
      <c r="F47" s="66">
        <f t="shared" ref="F47:F53" si="1">B47*E47</f>
        <v>0</v>
      </c>
      <c r="G47" s="5"/>
      <c r="H47" s="5"/>
      <c r="I47" s="5"/>
      <c r="J47" s="5"/>
      <c r="K47" s="5"/>
      <c r="L47" s="5"/>
      <c r="M47" s="5"/>
      <c r="N47" s="5"/>
      <c r="O47" s="5"/>
      <c r="P47" s="5"/>
    </row>
    <row r="48" spans="1:16" ht="16.5">
      <c r="A48" s="49" t="s">
        <v>83</v>
      </c>
      <c r="B48" s="63">
        <f>B2</f>
        <v>0</v>
      </c>
      <c r="C48" s="72">
        <v>4.0000000000000001E-3</v>
      </c>
      <c r="D48" s="66">
        <f t="shared" si="0"/>
        <v>0</v>
      </c>
      <c r="E48" s="72">
        <v>2.0199999999999999E-2</v>
      </c>
      <c r="F48" s="66">
        <f t="shared" si="1"/>
        <v>0</v>
      </c>
      <c r="G48" s="5"/>
      <c r="H48" s="5"/>
      <c r="I48" s="5"/>
      <c r="J48" s="5"/>
      <c r="K48" s="5"/>
      <c r="L48" s="5"/>
      <c r="M48" s="5"/>
      <c r="N48" s="5"/>
      <c r="O48" s="5"/>
      <c r="P48" s="5"/>
    </row>
    <row r="49" spans="1:16" ht="16.5">
      <c r="A49" s="49" t="s">
        <v>84</v>
      </c>
      <c r="B49" s="63">
        <f>B3</f>
        <v>0</v>
      </c>
      <c r="C49" s="72">
        <v>3.15E-2</v>
      </c>
      <c r="D49" s="66">
        <f t="shared" si="0"/>
        <v>0</v>
      </c>
      <c r="E49" s="72">
        <v>4.7199999999999999E-2</v>
      </c>
      <c r="F49" s="73">
        <f t="shared" si="1"/>
        <v>0</v>
      </c>
      <c r="G49" s="5"/>
      <c r="H49" s="5"/>
      <c r="I49" s="5"/>
      <c r="J49" s="5"/>
      <c r="K49" s="5"/>
      <c r="L49" s="5"/>
      <c r="M49" s="5"/>
      <c r="N49" s="5"/>
      <c r="O49" s="5"/>
      <c r="P49" s="5"/>
    </row>
    <row r="50" spans="1:16" ht="16.5">
      <c r="A50" s="49" t="s">
        <v>85</v>
      </c>
      <c r="B50" s="63">
        <f>B6</f>
        <v>0</v>
      </c>
      <c r="C50" s="72">
        <v>8.6400000000000005E-2</v>
      </c>
      <c r="D50" s="68">
        <f t="shared" si="0"/>
        <v>0</v>
      </c>
      <c r="E50" s="72">
        <v>0.1295</v>
      </c>
      <c r="F50" s="68">
        <f t="shared" si="1"/>
        <v>0</v>
      </c>
      <c r="G50" s="515">
        <f>F49+F51</f>
        <v>0</v>
      </c>
      <c r="H50" s="74"/>
      <c r="I50" s="5"/>
      <c r="J50" s="5"/>
      <c r="K50" s="5"/>
      <c r="L50" s="5"/>
      <c r="M50" s="5"/>
      <c r="N50" s="5"/>
      <c r="O50" s="5"/>
      <c r="P50" s="5"/>
    </row>
    <row r="51" spans="1:16" ht="16.5">
      <c r="A51" s="49" t="s">
        <v>86</v>
      </c>
      <c r="B51" s="63">
        <f>B3</f>
        <v>0</v>
      </c>
      <c r="C51" s="72">
        <v>8.6E-3</v>
      </c>
      <c r="D51" s="75">
        <f t="shared" si="0"/>
        <v>0</v>
      </c>
      <c r="E51" s="62">
        <v>1.29E-2</v>
      </c>
      <c r="F51" s="76">
        <f t="shared" si="1"/>
        <v>0</v>
      </c>
      <c r="G51" s="515"/>
      <c r="H51" s="74"/>
      <c r="I51" s="5"/>
      <c r="J51" s="5"/>
      <c r="K51" s="5"/>
      <c r="L51" s="5"/>
      <c r="M51" s="5"/>
      <c r="N51" s="5"/>
      <c r="O51" s="5"/>
      <c r="P51" s="5"/>
    </row>
    <row r="52" spans="1:16" ht="16.5">
      <c r="A52" s="49" t="s">
        <v>87</v>
      </c>
      <c r="B52" s="67">
        <f>B6</f>
        <v>0</v>
      </c>
      <c r="C52" s="72">
        <v>1.0800000000000001E-2</v>
      </c>
      <c r="D52" s="66">
        <f t="shared" si="0"/>
        <v>0</v>
      </c>
      <c r="E52" s="72">
        <v>1.6199999999999999E-2</v>
      </c>
      <c r="F52" s="68">
        <f t="shared" si="1"/>
        <v>0</v>
      </c>
      <c r="G52" s="520">
        <f>F50+F52</f>
        <v>0</v>
      </c>
      <c r="H52" s="5"/>
      <c r="I52" s="5"/>
      <c r="J52" s="5"/>
      <c r="K52" s="5"/>
      <c r="L52" s="5"/>
      <c r="M52" s="5"/>
      <c r="N52" s="5"/>
      <c r="O52" s="5"/>
      <c r="P52" s="5"/>
    </row>
    <row r="53" spans="1:16" ht="16.5">
      <c r="A53" s="49" t="s">
        <v>88</v>
      </c>
      <c r="B53" s="67">
        <f>B9</f>
        <v>0</v>
      </c>
      <c r="C53" s="72">
        <v>1.4E-3</v>
      </c>
      <c r="D53" s="66">
        <f t="shared" si="0"/>
        <v>0</v>
      </c>
      <c r="E53" s="72">
        <v>2.0999999999999999E-3</v>
      </c>
      <c r="F53" s="68">
        <f t="shared" si="1"/>
        <v>0</v>
      </c>
      <c r="G53" s="520"/>
      <c r="H53" s="5"/>
      <c r="I53" s="5"/>
      <c r="J53" s="5"/>
      <c r="K53" s="5"/>
      <c r="L53" s="5"/>
      <c r="M53" s="5"/>
      <c r="N53" s="5"/>
      <c r="O53" s="5"/>
      <c r="P53" s="5"/>
    </row>
    <row r="54" spans="1:16" ht="16.5">
      <c r="A54" s="49"/>
      <c r="B54" s="50"/>
      <c r="C54" s="72"/>
      <c r="D54" s="49"/>
      <c r="E54" s="72"/>
      <c r="F54" s="49"/>
      <c r="G54" s="77"/>
      <c r="H54" s="5"/>
      <c r="I54" s="5"/>
      <c r="J54" s="5"/>
      <c r="K54" s="5"/>
      <c r="L54" s="5"/>
      <c r="M54" s="5"/>
      <c r="N54" s="5"/>
      <c r="O54" s="5"/>
      <c r="P54" s="5"/>
    </row>
    <row r="55" spans="1:16" ht="16.5">
      <c r="A55" s="61" t="s">
        <v>89</v>
      </c>
      <c r="B55" s="50"/>
      <c r="C55" s="72"/>
      <c r="D55" s="49"/>
      <c r="E55" s="72"/>
      <c r="F55" s="49"/>
      <c r="G55" s="5"/>
      <c r="H55" s="5"/>
      <c r="I55" s="5"/>
      <c r="J55" s="5"/>
      <c r="K55" s="5"/>
      <c r="L55" s="5"/>
      <c r="M55" s="5"/>
      <c r="N55" s="5"/>
      <c r="O55" s="5"/>
      <c r="P55" s="5"/>
    </row>
    <row r="56" spans="1:16" ht="16.5">
      <c r="A56" s="49" t="s">
        <v>90</v>
      </c>
      <c r="B56" s="63">
        <f>D34</f>
        <v>0</v>
      </c>
      <c r="C56" s="78"/>
      <c r="D56" s="65"/>
      <c r="E56" s="72">
        <v>3.4500000000000003E-2</v>
      </c>
      <c r="F56" s="66">
        <f>B56*E56</f>
        <v>0</v>
      </c>
      <c r="G56" s="5"/>
      <c r="H56" s="5"/>
      <c r="I56" s="5"/>
      <c r="J56" s="5"/>
      <c r="K56" s="5"/>
      <c r="L56" s="5"/>
      <c r="M56" s="5"/>
      <c r="N56" s="5"/>
      <c r="O56" s="5"/>
      <c r="P56" s="5"/>
    </row>
    <row r="57" spans="1:16" ht="16.5">
      <c r="A57" s="49" t="s">
        <v>91</v>
      </c>
      <c r="B57" s="67">
        <f>IF(D34&gt;F5,B5+B6,0)</f>
        <v>0</v>
      </c>
      <c r="C57" s="78"/>
      <c r="D57" s="65"/>
      <c r="E57" s="72">
        <v>1.7999999999999999E-2</v>
      </c>
      <c r="F57" s="68">
        <f>B57*E57</f>
        <v>0</v>
      </c>
      <c r="G57" s="5"/>
      <c r="H57" s="5"/>
      <c r="I57" s="5"/>
      <c r="J57" s="5"/>
      <c r="K57" s="5"/>
      <c r="L57" s="5"/>
      <c r="M57" s="5"/>
      <c r="N57" s="5"/>
      <c r="O57" s="5"/>
      <c r="P57" s="5"/>
    </row>
    <row r="58" spans="1:16" ht="16.5">
      <c r="A58" s="49" t="s">
        <v>92</v>
      </c>
      <c r="B58" s="69"/>
      <c r="C58" s="78"/>
      <c r="D58" s="65"/>
      <c r="E58" s="72">
        <v>1.7999999999999999E-2</v>
      </c>
      <c r="F58" s="68">
        <f>B58*E58</f>
        <v>0</v>
      </c>
      <c r="G58" s="5"/>
      <c r="H58" s="5"/>
      <c r="I58" s="5"/>
      <c r="J58" s="5"/>
      <c r="K58" s="5"/>
      <c r="L58" s="5"/>
      <c r="M58" s="5"/>
      <c r="N58" s="5"/>
      <c r="O58" s="5"/>
      <c r="P58" s="5"/>
    </row>
    <row r="59" spans="1:16" ht="16.5">
      <c r="A59" s="49"/>
      <c r="B59" s="50"/>
      <c r="C59" s="72"/>
      <c r="D59" s="49"/>
      <c r="E59" s="72"/>
      <c r="F59" s="49"/>
      <c r="G59" s="5"/>
      <c r="H59" s="5"/>
      <c r="I59" s="5"/>
      <c r="J59" s="5"/>
      <c r="K59" s="5"/>
      <c r="L59" s="5"/>
      <c r="M59" s="5"/>
      <c r="N59" s="5"/>
      <c r="O59" s="5"/>
      <c r="P59" s="5"/>
    </row>
    <row r="60" spans="1:16" ht="16.5">
      <c r="A60" s="61" t="s">
        <v>93</v>
      </c>
      <c r="B60" s="50"/>
      <c r="C60" s="72"/>
      <c r="D60" s="49"/>
      <c r="E60" s="72"/>
      <c r="F60" s="49"/>
      <c r="G60" s="5"/>
      <c r="H60" s="5"/>
      <c r="I60" s="5"/>
      <c r="J60" s="5"/>
      <c r="K60" s="5"/>
      <c r="L60" s="5"/>
      <c r="M60" s="5"/>
      <c r="N60" s="5"/>
      <c r="O60" s="5"/>
      <c r="P60" s="5"/>
    </row>
    <row r="61" spans="1:16" ht="16.5">
      <c r="A61" s="49" t="s">
        <v>94</v>
      </c>
      <c r="B61" s="63">
        <f>B3+B4</f>
        <v>0</v>
      </c>
      <c r="C61" s="64"/>
      <c r="D61" s="65"/>
      <c r="E61" s="72">
        <v>4.0500000000000001E-2</v>
      </c>
      <c r="F61" s="66">
        <f>B61*E61</f>
        <v>0</v>
      </c>
      <c r="G61" s="5"/>
      <c r="H61" s="5"/>
      <c r="I61" s="5"/>
      <c r="J61" s="5"/>
      <c r="K61" s="5"/>
      <c r="L61" s="5"/>
      <c r="M61" s="5"/>
      <c r="N61" s="5"/>
      <c r="O61" s="5"/>
      <c r="P61" s="5"/>
    </row>
    <row r="62" spans="1:16" ht="16.5">
      <c r="A62" s="49" t="s">
        <v>95</v>
      </c>
      <c r="B62" s="63">
        <f>B3+B4</f>
        <v>0</v>
      </c>
      <c r="C62" s="78"/>
      <c r="D62" s="79"/>
      <c r="E62" s="72">
        <v>2E-3</v>
      </c>
      <c r="F62" s="66">
        <f>B62*E62</f>
        <v>0</v>
      </c>
      <c r="G62" s="521">
        <f>F61+F62</f>
        <v>0</v>
      </c>
      <c r="H62" s="5"/>
      <c r="I62" s="5"/>
      <c r="J62" s="5"/>
      <c r="K62" s="5"/>
      <c r="L62" s="5"/>
      <c r="M62" s="5"/>
      <c r="N62" s="5"/>
      <c r="O62" s="5"/>
      <c r="P62" s="5"/>
    </row>
    <row r="63" spans="1:16" ht="16.5">
      <c r="A63" s="49" t="s">
        <v>96</v>
      </c>
      <c r="B63" s="63">
        <f>IF(F10="cadre",B7,0)</f>
        <v>0</v>
      </c>
      <c r="C63" s="72">
        <f>IF(F10="cadre",0.024%,0%)</f>
        <v>2.4000000000000001E-4</v>
      </c>
      <c r="D63" s="80">
        <f>B63*C63</f>
        <v>0</v>
      </c>
      <c r="E63" s="72">
        <f>+IF(F10="cadre",0.036%,0)</f>
        <v>3.5999999999999997E-4</v>
      </c>
      <c r="F63" s="80">
        <f>B63*E63</f>
        <v>0</v>
      </c>
      <c r="G63" s="521"/>
      <c r="H63" s="5"/>
      <c r="I63" s="5"/>
      <c r="J63" s="5"/>
      <c r="K63" s="5"/>
      <c r="L63" s="5"/>
      <c r="M63" s="5"/>
      <c r="N63" s="5"/>
      <c r="O63" s="5"/>
      <c r="P63" s="5"/>
    </row>
    <row r="64" spans="1:16" ht="16.5">
      <c r="A64" s="49"/>
      <c r="B64" s="50"/>
      <c r="C64" s="72"/>
      <c r="D64" s="49"/>
      <c r="E64" s="72"/>
      <c r="F64" s="49"/>
      <c r="G64" s="5"/>
      <c r="H64" s="5"/>
      <c r="I64" s="5"/>
      <c r="J64" s="5"/>
      <c r="K64" s="5"/>
      <c r="L64" s="5"/>
      <c r="M64" s="5"/>
      <c r="N64" s="5"/>
      <c r="O64" s="5"/>
      <c r="P64" s="5"/>
    </row>
    <row r="65" spans="1:16" ht="16.5">
      <c r="A65" s="61" t="s">
        <v>97</v>
      </c>
      <c r="B65" s="50"/>
      <c r="C65" s="72"/>
      <c r="D65" s="49"/>
      <c r="E65" s="72"/>
      <c r="F65" s="49"/>
      <c r="G65" s="5"/>
      <c r="H65" s="5"/>
      <c r="I65" s="5"/>
      <c r="J65" s="5"/>
      <c r="K65" s="5"/>
      <c r="L65" s="5"/>
      <c r="M65" s="5"/>
      <c r="N65" s="5"/>
      <c r="O65" s="5"/>
      <c r="P65" s="5"/>
    </row>
    <row r="66" spans="1:16" ht="16.5">
      <c r="A66" s="49" t="s">
        <v>98</v>
      </c>
      <c r="B66" s="63">
        <f>IF(B1&gt;=11,B2,0)</f>
        <v>0</v>
      </c>
      <c r="C66" s="78"/>
      <c r="D66" s="65"/>
      <c r="E66" s="81">
        <v>0</v>
      </c>
      <c r="F66" s="66">
        <f t="shared" ref="F66:F76" si="2">B66*E66</f>
        <v>0</v>
      </c>
      <c r="G66" s="5"/>
      <c r="H66" s="5"/>
      <c r="I66" s="5"/>
      <c r="J66" s="5"/>
      <c r="K66" s="5"/>
      <c r="L66" s="5"/>
      <c r="M66" s="5"/>
      <c r="N66" s="5"/>
      <c r="O66" s="5"/>
      <c r="P66" s="5"/>
    </row>
    <row r="67" spans="1:16" ht="16.5">
      <c r="A67" s="49" t="s">
        <v>99</v>
      </c>
      <c r="B67" s="63">
        <f>IF(B1&gt;50,B2,0)</f>
        <v>0</v>
      </c>
      <c r="C67" s="78"/>
      <c r="D67" s="65"/>
      <c r="E67" s="72">
        <v>4.4999999999999997E-3</v>
      </c>
      <c r="F67" s="66">
        <f t="shared" si="2"/>
        <v>0</v>
      </c>
      <c r="G67" s="5"/>
      <c r="H67" s="5"/>
      <c r="I67" s="5"/>
      <c r="J67" s="5"/>
      <c r="K67" s="5"/>
      <c r="L67" s="5"/>
      <c r="M67" s="5"/>
      <c r="N67" s="5"/>
      <c r="O67" s="5"/>
      <c r="P67" s="5"/>
    </row>
    <row r="68" spans="1:16" ht="16.5">
      <c r="A68" s="49" t="s">
        <v>100</v>
      </c>
      <c r="B68" s="63">
        <f>B2</f>
        <v>0</v>
      </c>
      <c r="C68" s="78"/>
      <c r="D68" s="65"/>
      <c r="E68" s="72">
        <v>6.7999999999999996E-3</v>
      </c>
      <c r="F68" s="66">
        <f t="shared" si="2"/>
        <v>0</v>
      </c>
      <c r="G68" s="5"/>
      <c r="H68" s="5"/>
      <c r="I68" s="5"/>
      <c r="J68" s="5"/>
      <c r="K68" s="5"/>
      <c r="L68" s="5"/>
      <c r="M68" s="5"/>
      <c r="N68" s="5"/>
      <c r="O68" s="5"/>
      <c r="P68" s="5"/>
    </row>
    <row r="69" spans="1:16" ht="16.5">
      <c r="A69" s="49" t="s">
        <v>101</v>
      </c>
      <c r="B69" s="63">
        <f>B68</f>
        <v>0</v>
      </c>
      <c r="C69" s="78"/>
      <c r="D69" s="65"/>
      <c r="E69" s="72">
        <f>IF(B1&gt;=11,1%,0.55%)</f>
        <v>0.01</v>
      </c>
      <c r="F69" s="66">
        <f t="shared" si="2"/>
        <v>0</v>
      </c>
      <c r="G69" s="5"/>
      <c r="H69" s="5"/>
      <c r="I69" s="5"/>
      <c r="J69" s="5"/>
      <c r="K69" s="5"/>
      <c r="L69" s="5"/>
      <c r="M69" s="5"/>
      <c r="N69" s="5"/>
      <c r="O69" s="5"/>
      <c r="P69" s="5"/>
    </row>
    <row r="70" spans="1:16" ht="16.5">
      <c r="A70" s="49" t="s">
        <v>102</v>
      </c>
      <c r="B70" s="82">
        <f>IF(F9="cdd",B2,0)</f>
        <v>0</v>
      </c>
      <c r="C70" s="78"/>
      <c r="D70" s="65"/>
      <c r="E70" s="81">
        <v>0.01</v>
      </c>
      <c r="F70" s="66">
        <f t="shared" si="2"/>
        <v>0</v>
      </c>
      <c r="G70" s="5"/>
      <c r="H70" s="5"/>
      <c r="I70" s="5"/>
      <c r="J70" s="5"/>
      <c r="K70" s="5"/>
      <c r="L70" s="5"/>
      <c r="M70" s="5"/>
      <c r="N70" s="5"/>
      <c r="O70" s="5"/>
      <c r="P70" s="5"/>
    </row>
    <row r="71" spans="1:16" ht="16.5">
      <c r="A71" s="49" t="s">
        <v>103</v>
      </c>
      <c r="B71" s="63">
        <f>B69</f>
        <v>0</v>
      </c>
      <c r="C71" s="78"/>
      <c r="D71" s="65"/>
      <c r="E71" s="72">
        <v>1.6000000000000001E-4</v>
      </c>
      <c r="F71" s="66">
        <f t="shared" si="2"/>
        <v>0</v>
      </c>
      <c r="G71" s="5"/>
      <c r="H71" s="5"/>
      <c r="I71" s="5"/>
      <c r="J71" s="5"/>
      <c r="K71" s="5"/>
      <c r="L71" s="5"/>
      <c r="M71" s="5"/>
      <c r="N71" s="5"/>
      <c r="O71" s="5"/>
      <c r="P71" s="5"/>
    </row>
    <row r="72" spans="1:16" ht="16.5">
      <c r="A72" s="49" t="s">
        <v>104</v>
      </c>
      <c r="B72" s="67">
        <f>IF(B1&lt;50,B8,0)</f>
        <v>0</v>
      </c>
      <c r="C72" s="78"/>
      <c r="D72" s="65"/>
      <c r="E72" s="72">
        <v>1E-3</v>
      </c>
      <c r="F72" s="66">
        <f t="shared" si="2"/>
        <v>0</v>
      </c>
      <c r="G72" s="5"/>
      <c r="H72" s="5"/>
      <c r="I72" s="5"/>
      <c r="J72" s="5"/>
      <c r="K72" s="5"/>
      <c r="L72" s="5"/>
      <c r="M72" s="5"/>
      <c r="N72" s="5"/>
      <c r="O72" s="5"/>
      <c r="P72" s="5"/>
    </row>
    <row r="73" spans="1:16" ht="16.5">
      <c r="A73" s="49" t="s">
        <v>105</v>
      </c>
      <c r="B73" s="67">
        <f>IF(B1&gt;=50,B2,0)</f>
        <v>0</v>
      </c>
      <c r="C73" s="78"/>
      <c r="D73" s="65"/>
      <c r="E73" s="72">
        <v>5.0000000000000001E-3</v>
      </c>
      <c r="F73" s="66">
        <f t="shared" si="2"/>
        <v>0</v>
      </c>
      <c r="G73" s="5"/>
      <c r="H73" s="5"/>
      <c r="I73" s="5"/>
      <c r="J73" s="5"/>
      <c r="K73" s="5"/>
      <c r="L73" s="5"/>
      <c r="M73" s="5"/>
      <c r="N73" s="5"/>
      <c r="O73" s="5"/>
      <c r="P73" s="5"/>
    </row>
    <row r="74" spans="1:16" ht="16.5">
      <c r="A74" s="49" t="s">
        <v>106</v>
      </c>
      <c r="B74" s="63">
        <f>D34</f>
        <v>0</v>
      </c>
      <c r="C74" s="78"/>
      <c r="D74" s="65"/>
      <c r="E74" s="72">
        <v>3.0000000000000001E-3</v>
      </c>
      <c r="F74" s="66">
        <f t="shared" si="2"/>
        <v>0</v>
      </c>
      <c r="G74" s="5"/>
      <c r="H74" s="5"/>
      <c r="I74" s="5"/>
      <c r="J74" s="5"/>
      <c r="K74" s="5"/>
      <c r="L74" s="5"/>
      <c r="M74" s="5"/>
      <c r="N74" s="5"/>
      <c r="O74" s="5"/>
      <c r="P74" s="5"/>
    </row>
    <row r="75" spans="1:16" ht="16.5">
      <c r="A75" s="49" t="s">
        <v>107</v>
      </c>
      <c r="B75" s="67">
        <f>IF(B1&gt;=11,F41+F42+F93+F94,0)</f>
        <v>0</v>
      </c>
      <c r="C75" s="78"/>
      <c r="D75" s="65"/>
      <c r="E75" s="72">
        <v>0.08</v>
      </c>
      <c r="F75" s="66">
        <f t="shared" si="2"/>
        <v>0</v>
      </c>
      <c r="G75" s="5"/>
      <c r="H75" s="5"/>
      <c r="I75" s="5"/>
      <c r="J75" s="5"/>
      <c r="K75" s="5"/>
      <c r="L75" s="5"/>
      <c r="M75" s="5"/>
      <c r="N75" s="5"/>
      <c r="O75" s="5"/>
      <c r="P75" s="5"/>
    </row>
    <row r="76" spans="1:16" ht="16.5">
      <c r="A76" s="49" t="s">
        <v>108</v>
      </c>
      <c r="B76" s="69"/>
      <c r="C76" s="72"/>
      <c r="D76" s="49"/>
      <c r="E76" s="72">
        <v>0.3</v>
      </c>
      <c r="F76" s="66">
        <f t="shared" si="2"/>
        <v>0</v>
      </c>
      <c r="G76" s="5"/>
      <c r="H76" s="5"/>
      <c r="I76" s="5"/>
      <c r="J76" s="5"/>
      <c r="K76" s="5"/>
      <c r="L76" s="5"/>
      <c r="M76" s="5"/>
      <c r="N76" s="5"/>
      <c r="O76" s="5"/>
      <c r="P76" s="5"/>
    </row>
    <row r="77" spans="1:16" ht="16.5">
      <c r="A77" s="49"/>
      <c r="B77" s="50"/>
      <c r="C77" s="72"/>
      <c r="D77" s="49"/>
      <c r="E77" s="72"/>
      <c r="F77" s="49"/>
      <c r="G77" s="5"/>
      <c r="H77" s="5"/>
      <c r="I77" s="5"/>
      <c r="J77" s="5"/>
      <c r="K77" s="5"/>
      <c r="L77" s="5"/>
      <c r="M77" s="5"/>
      <c r="N77" s="5"/>
      <c r="O77" s="5"/>
      <c r="P77" s="5"/>
    </row>
    <row r="78" spans="1:16" ht="16.5">
      <c r="A78" s="61" t="s">
        <v>109</v>
      </c>
      <c r="B78" s="50" t="s">
        <v>110</v>
      </c>
      <c r="C78" s="72"/>
      <c r="D78" s="49"/>
      <c r="E78" s="83"/>
      <c r="F78" s="49"/>
      <c r="G78" s="5"/>
      <c r="H78" s="5"/>
      <c r="I78" s="5"/>
      <c r="J78" s="5"/>
      <c r="K78" s="5"/>
      <c r="L78" s="5"/>
      <c r="M78" s="5"/>
      <c r="N78" s="5"/>
      <c r="O78" s="5"/>
      <c r="P78" s="5"/>
    </row>
    <row r="79" spans="1:16" ht="16.5">
      <c r="A79" s="61"/>
      <c r="B79" s="50"/>
      <c r="C79" s="72"/>
      <c r="D79" s="49"/>
      <c r="E79" s="83"/>
      <c r="F79" s="49"/>
      <c r="G79" s="5"/>
      <c r="H79" s="5"/>
      <c r="I79" s="5"/>
      <c r="J79" s="5"/>
      <c r="K79" s="5"/>
      <c r="L79" s="5"/>
      <c r="M79" s="5"/>
      <c r="N79" s="5"/>
      <c r="O79" s="5"/>
      <c r="P79" s="5"/>
    </row>
    <row r="80" spans="1:16" ht="16.5">
      <c r="A80" s="61" t="s">
        <v>111</v>
      </c>
      <c r="B80" s="63">
        <f>IF(D34&lt;$F$7,(D34-D26-D27-D28)*98.25%+$F$41+$F$42+$F$93+$F$94+F97,($F$7*98.25%)+(D34-D28-D27-D26-F7+$F$41+$F$42+$F$93+$F$93+$F$94))</f>
        <v>0</v>
      </c>
      <c r="C80" s="72">
        <v>6.8000000000000005E-2</v>
      </c>
      <c r="D80" s="66">
        <f>B80*C80</f>
        <v>0</v>
      </c>
      <c r="E80" s="79"/>
      <c r="F80" s="65"/>
      <c r="G80" s="5"/>
      <c r="H80" s="5"/>
      <c r="I80" s="5"/>
      <c r="J80" s="5"/>
      <c r="K80" s="5"/>
      <c r="L80" s="5"/>
      <c r="M80" s="5"/>
      <c r="N80" s="5"/>
      <c r="O80" s="5"/>
      <c r="P80" s="5"/>
    </row>
    <row r="81" spans="1:16" ht="16.5">
      <c r="A81" s="61" t="s">
        <v>112</v>
      </c>
      <c r="B81" s="63">
        <f>B80</f>
        <v>0</v>
      </c>
      <c r="C81" s="72">
        <v>2.9000000000000001E-2</v>
      </c>
      <c r="D81" s="66">
        <f>B81*C81</f>
        <v>0</v>
      </c>
      <c r="E81" s="79"/>
      <c r="F81" s="65"/>
      <c r="G81" s="5"/>
      <c r="H81" s="5"/>
      <c r="I81" s="5"/>
      <c r="J81" s="5"/>
      <c r="K81" s="5"/>
      <c r="L81" s="5"/>
      <c r="M81" s="5"/>
      <c r="N81" s="5"/>
      <c r="O81" s="5"/>
      <c r="P81" s="5"/>
    </row>
    <row r="82" spans="1:16" ht="16.5">
      <c r="A82" s="61" t="s">
        <v>113</v>
      </c>
      <c r="B82" s="63">
        <f>(D26+D27+D28)*98.25%</f>
        <v>0</v>
      </c>
      <c r="C82" s="72">
        <v>9.7000000000000003E-2</v>
      </c>
      <c r="D82" s="66">
        <f>B82*C82</f>
        <v>0</v>
      </c>
      <c r="E82" s="79"/>
      <c r="F82" s="65"/>
      <c r="G82" s="5"/>
      <c r="H82" s="5"/>
      <c r="I82" s="5"/>
      <c r="J82" s="5"/>
      <c r="K82" s="5"/>
      <c r="L82" s="5"/>
      <c r="M82" s="5"/>
      <c r="N82" s="5"/>
      <c r="O82" s="5"/>
      <c r="P82" s="5"/>
    </row>
    <row r="83" spans="1:16" ht="16.5">
      <c r="A83" s="61" t="s">
        <v>114</v>
      </c>
      <c r="B83" s="50"/>
      <c r="C83" s="72">
        <v>9.7000000000000003E-2</v>
      </c>
      <c r="D83" s="66">
        <f>+B83*C83</f>
        <v>0</v>
      </c>
      <c r="E83" s="79"/>
      <c r="F83" s="65"/>
      <c r="G83" s="5"/>
      <c r="H83" s="5"/>
      <c r="I83" s="5"/>
      <c r="J83" s="5"/>
      <c r="K83" s="5"/>
      <c r="L83" s="5"/>
      <c r="M83" s="5"/>
      <c r="N83" s="5"/>
      <c r="O83" s="5"/>
      <c r="P83" s="5"/>
    </row>
    <row r="84" spans="1:16" ht="16.5">
      <c r="A84" s="61"/>
      <c r="B84" s="50"/>
      <c r="C84" s="72"/>
      <c r="D84" s="49"/>
      <c r="E84" s="83"/>
      <c r="F84" s="49"/>
      <c r="G84" s="5"/>
      <c r="H84" s="5"/>
      <c r="I84" s="5"/>
      <c r="J84" s="5"/>
      <c r="K84" s="5"/>
      <c r="L84" s="5"/>
      <c r="M84" s="5"/>
      <c r="N84" s="5"/>
      <c r="O84" s="5"/>
      <c r="P84" s="5"/>
    </row>
    <row r="85" spans="1:16" ht="16.5">
      <c r="A85" s="522" t="s">
        <v>115</v>
      </c>
      <c r="B85" s="522"/>
      <c r="C85" s="522"/>
      <c r="D85" s="84">
        <f>SUM(D41:D83)</f>
        <v>0</v>
      </c>
      <c r="E85" s="85"/>
      <c r="F85" s="84">
        <f>SUM(F38:F82)</f>
        <v>0</v>
      </c>
      <c r="G85" s="5"/>
      <c r="H85" s="5"/>
      <c r="I85" s="5"/>
      <c r="J85" s="5"/>
      <c r="K85" s="5"/>
      <c r="L85" s="5"/>
      <c r="M85" s="5"/>
      <c r="N85" s="5"/>
      <c r="O85" s="5"/>
      <c r="P85" s="5"/>
    </row>
    <row r="86" spans="1:16" ht="16.5">
      <c r="A86" s="49"/>
      <c r="B86" s="49"/>
      <c r="C86" s="49"/>
      <c r="D86" s="49"/>
      <c r="E86" s="49"/>
      <c r="F86" s="49"/>
      <c r="G86" s="86"/>
      <c r="H86" s="5"/>
      <c r="I86" s="5"/>
      <c r="J86" s="5"/>
      <c r="K86" s="5"/>
      <c r="L86" s="5"/>
      <c r="M86" s="5"/>
      <c r="N86" s="5"/>
      <c r="O86" s="5"/>
      <c r="P86" s="5"/>
    </row>
    <row r="87" spans="1:16" ht="16.5">
      <c r="A87" s="523" t="s">
        <v>116</v>
      </c>
      <c r="B87" s="523"/>
      <c r="C87" s="523"/>
      <c r="D87" s="523"/>
      <c r="E87" s="523"/>
      <c r="F87" s="523"/>
      <c r="G87" s="5"/>
      <c r="H87" s="5"/>
      <c r="I87" s="5"/>
      <c r="J87" s="5"/>
      <c r="K87" s="5"/>
      <c r="L87" s="5"/>
      <c r="M87" s="5"/>
      <c r="N87" s="5"/>
      <c r="O87" s="5"/>
      <c r="P87" s="5"/>
    </row>
    <row r="88" spans="1:16" ht="16.5">
      <c r="A88" s="49" t="s">
        <v>117</v>
      </c>
      <c r="B88" s="87">
        <f>D27+D28+D26</f>
        <v>0</v>
      </c>
      <c r="C88" s="88">
        <f>IF((C47+C48+C49+C51)&gt;11.31%,11.31%,(C47+C48+C49+C51))</f>
        <v>0.11310000000000001</v>
      </c>
      <c r="D88" s="89">
        <f>-B88*C88</f>
        <v>0</v>
      </c>
      <c r="E88" s="65"/>
      <c r="F88" s="65"/>
      <c r="G88" s="5"/>
      <c r="H88" s="5"/>
      <c r="I88" s="5"/>
      <c r="J88" s="5"/>
      <c r="K88" s="5"/>
      <c r="L88" s="5"/>
      <c r="M88" s="5"/>
      <c r="N88" s="5"/>
      <c r="O88" s="5"/>
      <c r="P88" s="5"/>
    </row>
    <row r="89" spans="1:16" ht="16.5">
      <c r="A89" s="49" t="s">
        <v>118</v>
      </c>
      <c r="B89" s="287">
        <f>B27+B28</f>
        <v>0</v>
      </c>
      <c r="C89" s="49"/>
      <c r="D89" s="49"/>
      <c r="E89" s="49">
        <f>IF(B1&lt;20,1.5,IF(AND(B1&gt;=20,B1&lt;250),0.5,0))</f>
        <v>1.5</v>
      </c>
      <c r="F89" s="49">
        <f>-B89*E89</f>
        <v>0</v>
      </c>
      <c r="G89" s="5"/>
      <c r="H89" s="5"/>
      <c r="I89" s="5"/>
      <c r="J89" s="5"/>
      <c r="K89" s="5"/>
      <c r="L89" s="5"/>
      <c r="M89" s="5"/>
      <c r="N89" s="5"/>
      <c r="O89" s="5"/>
      <c r="P89" s="5"/>
    </row>
    <row r="90" spans="1:16" ht="16.5">
      <c r="A90" s="49" t="s">
        <v>119</v>
      </c>
      <c r="B90" s="65"/>
      <c r="C90" s="65"/>
      <c r="D90" s="65"/>
      <c r="E90" s="49"/>
      <c r="F90" s="90"/>
      <c r="G90" s="5"/>
      <c r="H90" s="5"/>
      <c r="I90" s="5"/>
      <c r="J90" s="5"/>
      <c r="K90" s="5"/>
      <c r="L90" s="5"/>
      <c r="M90" s="5"/>
      <c r="N90" s="5"/>
      <c r="O90" s="5"/>
      <c r="P90" s="5"/>
    </row>
    <row r="91" spans="1:16" ht="16.5">
      <c r="A91" s="49"/>
      <c r="B91" s="49"/>
      <c r="C91" s="55"/>
      <c r="D91" s="55"/>
      <c r="E91" s="55"/>
      <c r="F91" s="55"/>
      <c r="G91" s="5"/>
      <c r="H91" s="5"/>
      <c r="I91" s="5"/>
      <c r="J91" s="5"/>
      <c r="K91" s="5"/>
      <c r="L91" s="5"/>
      <c r="M91" s="5"/>
      <c r="N91" s="5"/>
      <c r="O91" s="5"/>
      <c r="P91" s="5"/>
    </row>
    <row r="92" spans="1:16" ht="16.5">
      <c r="A92" s="295" t="s">
        <v>120</v>
      </c>
      <c r="B92" s="296" t="s">
        <v>58</v>
      </c>
      <c r="C92" s="91" t="s">
        <v>59</v>
      </c>
      <c r="D92" s="91" t="s">
        <v>73</v>
      </c>
      <c r="E92" s="91" t="s">
        <v>59</v>
      </c>
      <c r="F92" s="92" t="s">
        <v>73</v>
      </c>
      <c r="G92" s="5"/>
      <c r="H92" s="5"/>
      <c r="I92" s="5"/>
      <c r="J92" s="5"/>
      <c r="K92" s="5"/>
      <c r="L92" s="5"/>
      <c r="M92" s="5"/>
      <c r="N92" s="5"/>
      <c r="O92" s="5"/>
      <c r="P92" s="5"/>
    </row>
    <row r="93" spans="1:16" ht="16.5">
      <c r="A93" s="93" t="s">
        <v>121</v>
      </c>
      <c r="B93" s="294">
        <f>B3</f>
        <v>0</v>
      </c>
      <c r="C93" s="292">
        <v>0</v>
      </c>
      <c r="D93" s="95">
        <f>B93*C93</f>
        <v>0</v>
      </c>
      <c r="E93" s="94">
        <v>0</v>
      </c>
      <c r="F93" s="95">
        <f>B93*E93</f>
        <v>0</v>
      </c>
      <c r="G93" s="5"/>
      <c r="H93" s="5"/>
      <c r="I93" s="5"/>
      <c r="J93" s="5"/>
      <c r="K93" s="5"/>
      <c r="L93" s="5"/>
      <c r="M93" s="5"/>
      <c r="N93" s="5"/>
      <c r="O93" s="5"/>
      <c r="P93" s="5"/>
    </row>
    <row r="94" spans="1:16" ht="16.5">
      <c r="A94" s="93" t="s">
        <v>122</v>
      </c>
      <c r="B94" s="294">
        <f t="shared" ref="B94:B96" si="3">B4</f>
        <v>0</v>
      </c>
      <c r="C94" s="293">
        <v>0</v>
      </c>
      <c r="D94" s="66">
        <f>B94*C94</f>
        <v>0</v>
      </c>
      <c r="E94" s="96">
        <v>0</v>
      </c>
      <c r="F94" s="66">
        <f>B94*E94</f>
        <v>0</v>
      </c>
      <c r="G94" s="5"/>
      <c r="H94" s="5"/>
      <c r="I94" s="5"/>
      <c r="J94" s="5"/>
      <c r="K94" s="5"/>
      <c r="L94" s="5"/>
      <c r="M94" s="5"/>
      <c r="N94" s="5"/>
      <c r="O94" s="5"/>
      <c r="P94" s="5"/>
    </row>
    <row r="95" spans="1:16" ht="16.5">
      <c r="A95" s="93" t="s">
        <v>266</v>
      </c>
      <c r="B95" s="294">
        <f t="shared" si="3"/>
        <v>0</v>
      </c>
      <c r="C95" s="293">
        <v>0</v>
      </c>
      <c r="D95" s="66">
        <f>B95*C95</f>
        <v>0</v>
      </c>
      <c r="E95" s="96">
        <v>0</v>
      </c>
      <c r="F95" s="66">
        <f>B95*E95</f>
        <v>0</v>
      </c>
      <c r="G95" s="5"/>
      <c r="H95" s="5"/>
      <c r="I95" s="5"/>
      <c r="J95" s="5"/>
      <c r="K95" s="5"/>
      <c r="L95" s="5"/>
      <c r="M95" s="5"/>
      <c r="N95" s="5"/>
      <c r="O95" s="5"/>
      <c r="P95" s="5"/>
    </row>
    <row r="96" spans="1:16" ht="16.5">
      <c r="A96" s="291" t="s">
        <v>267</v>
      </c>
      <c r="B96" s="294">
        <f t="shared" si="3"/>
        <v>0</v>
      </c>
      <c r="C96" s="293">
        <v>0</v>
      </c>
      <c r="D96" s="66">
        <f>B96*C96</f>
        <v>0</v>
      </c>
      <c r="E96" s="96">
        <v>0</v>
      </c>
      <c r="F96" s="66">
        <f>B96*E96</f>
        <v>0</v>
      </c>
      <c r="G96" s="5"/>
      <c r="H96" s="5"/>
      <c r="I96" s="5"/>
      <c r="J96" s="5"/>
      <c r="K96" s="5"/>
      <c r="L96" s="5"/>
      <c r="M96" s="5"/>
      <c r="N96" s="5"/>
      <c r="O96" s="5"/>
      <c r="P96" s="5"/>
    </row>
    <row r="97" spans="1:16" ht="16.5">
      <c r="A97" s="43" t="s">
        <v>124</v>
      </c>
      <c r="B97" s="90"/>
      <c r="C97" s="96">
        <v>0</v>
      </c>
      <c r="D97" s="66">
        <f>B97*C97</f>
        <v>0</v>
      </c>
      <c r="E97" s="96">
        <v>0</v>
      </c>
      <c r="F97" s="66">
        <f>B97*E97</f>
        <v>0</v>
      </c>
      <c r="G97" s="5"/>
      <c r="H97" s="5"/>
      <c r="I97" s="5"/>
      <c r="J97" s="5"/>
      <c r="K97" s="5"/>
      <c r="L97" s="5"/>
      <c r="M97" s="5"/>
      <c r="N97" s="5"/>
      <c r="O97" s="5"/>
      <c r="P97" s="5"/>
    </row>
    <row r="98" spans="1:16" ht="16.5">
      <c r="A98" s="43"/>
      <c r="B98" s="55"/>
      <c r="C98" s="55"/>
      <c r="D98" s="55"/>
      <c r="E98" s="55"/>
      <c r="F98" s="55"/>
      <c r="G98" s="5"/>
      <c r="H98" s="5"/>
      <c r="I98" s="5"/>
      <c r="J98" s="5"/>
      <c r="K98" s="5"/>
      <c r="L98" s="5"/>
      <c r="M98" s="5"/>
      <c r="N98" s="5"/>
      <c r="O98" s="5"/>
      <c r="P98" s="5"/>
    </row>
    <row r="99" spans="1:16" ht="16.5">
      <c r="A99" s="97" t="s">
        <v>125</v>
      </c>
      <c r="B99" s="85"/>
      <c r="C99" s="85"/>
      <c r="D99" s="84">
        <f>D34-D85-D88+D104-D93-D94-D95-D97</f>
        <v>0</v>
      </c>
      <c r="E99" s="85"/>
      <c r="F99" s="85"/>
      <c r="G99" s="5"/>
      <c r="H99" s="5"/>
      <c r="I99" s="5"/>
      <c r="J99" s="5"/>
      <c r="K99" s="5"/>
      <c r="L99" s="5"/>
      <c r="M99" s="5"/>
      <c r="N99" s="5"/>
      <c r="O99" s="5"/>
      <c r="P99" s="5"/>
    </row>
    <row r="100" spans="1:16" ht="16.5">
      <c r="A100" s="93"/>
      <c r="B100" s="49"/>
      <c r="C100" s="49"/>
      <c r="D100" s="49"/>
      <c r="E100" s="49"/>
      <c r="F100" s="49"/>
      <c r="G100" s="5"/>
      <c r="H100" s="5"/>
      <c r="I100" s="5"/>
      <c r="J100" s="5"/>
      <c r="K100" s="5"/>
      <c r="L100" s="5"/>
      <c r="M100" s="5"/>
      <c r="N100" s="5"/>
      <c r="O100" s="5"/>
      <c r="P100" s="5"/>
    </row>
    <row r="101" spans="1:16" ht="16.5">
      <c r="A101" s="98" t="s">
        <v>126</v>
      </c>
      <c r="B101" s="85"/>
      <c r="C101" s="85"/>
      <c r="D101" s="85"/>
      <c r="E101" s="85"/>
      <c r="F101" s="85"/>
      <c r="G101" s="5"/>
      <c r="H101" s="5"/>
      <c r="I101" s="5"/>
      <c r="J101" s="5"/>
      <c r="K101" s="5"/>
      <c r="L101" s="5"/>
      <c r="M101" s="5"/>
      <c r="N101" s="5"/>
      <c r="O101" s="5"/>
      <c r="P101" s="5"/>
    </row>
    <row r="102" spans="1:16" ht="16.5">
      <c r="A102" s="93" t="s">
        <v>127</v>
      </c>
      <c r="B102" s="99"/>
      <c r="C102" s="99"/>
      <c r="D102" s="99">
        <v>0</v>
      </c>
      <c r="E102" s="99"/>
      <c r="F102" s="99"/>
      <c r="G102" s="5"/>
      <c r="H102" s="5"/>
      <c r="I102" s="5"/>
      <c r="J102" s="5"/>
      <c r="K102" s="5"/>
      <c r="L102" s="5"/>
      <c r="M102" s="5"/>
      <c r="N102" s="5"/>
      <c r="O102" s="5"/>
      <c r="P102" s="5"/>
    </row>
    <row r="103" spans="1:16" ht="16.5">
      <c r="A103" s="93" t="s">
        <v>128</v>
      </c>
      <c r="B103" s="50"/>
      <c r="C103" s="50"/>
      <c r="D103" s="50"/>
      <c r="E103" s="50"/>
      <c r="F103" s="50"/>
      <c r="G103" s="5"/>
      <c r="H103" s="5"/>
      <c r="I103" s="5"/>
      <c r="J103" s="5"/>
      <c r="K103" s="5"/>
      <c r="L103" s="5"/>
      <c r="M103" s="5"/>
      <c r="N103" s="5"/>
      <c r="O103" s="5"/>
      <c r="P103" s="5"/>
    </row>
    <row r="104" spans="1:16" ht="16.5">
      <c r="A104" s="93" t="s">
        <v>129</v>
      </c>
      <c r="B104" s="50">
        <f>C30*0.933</f>
        <v>0</v>
      </c>
      <c r="C104" s="50">
        <v>0</v>
      </c>
      <c r="D104" s="50">
        <f>B104*C104</f>
        <v>0</v>
      </c>
      <c r="E104" s="50"/>
      <c r="F104" s="50"/>
      <c r="G104" s="5"/>
      <c r="H104" s="5"/>
      <c r="I104" s="5"/>
      <c r="J104" s="5"/>
      <c r="K104" s="5"/>
      <c r="L104" s="5"/>
      <c r="M104" s="5"/>
      <c r="N104" s="5"/>
      <c r="O104" s="5"/>
      <c r="P104" s="5"/>
    </row>
    <row r="105" spans="1:16" ht="16.5">
      <c r="A105" s="93" t="s">
        <v>130</v>
      </c>
      <c r="B105" s="50"/>
      <c r="C105" s="50"/>
      <c r="D105" s="50">
        <f>-B105*C105</f>
        <v>0</v>
      </c>
      <c r="E105" s="50"/>
      <c r="F105" s="50"/>
      <c r="G105" s="5"/>
      <c r="H105" s="5"/>
      <c r="I105" s="5"/>
      <c r="J105" s="5"/>
      <c r="K105" s="5"/>
      <c r="L105" s="5"/>
      <c r="M105" s="5"/>
      <c r="N105" s="5"/>
      <c r="O105" s="5"/>
      <c r="P105" s="5"/>
    </row>
    <row r="106" spans="1:16" ht="16.5">
      <c r="A106" s="93" t="s">
        <v>131</v>
      </c>
      <c r="B106" s="50"/>
      <c r="C106" s="50"/>
      <c r="D106" s="50"/>
      <c r="E106" s="50"/>
      <c r="F106" s="50"/>
      <c r="G106" s="5"/>
      <c r="H106" s="5"/>
      <c r="I106" s="5"/>
      <c r="J106" s="5"/>
      <c r="K106" s="5"/>
      <c r="L106" s="5"/>
      <c r="M106" s="5"/>
      <c r="N106" s="5"/>
      <c r="O106" s="5"/>
      <c r="P106" s="5"/>
    </row>
    <row r="107" spans="1:16" ht="16.5">
      <c r="A107" s="93" t="s">
        <v>132</v>
      </c>
      <c r="B107" s="50"/>
      <c r="C107" s="50"/>
      <c r="D107" s="50"/>
      <c r="E107" s="50"/>
      <c r="F107" s="50"/>
      <c r="G107" s="5"/>
      <c r="H107" s="52"/>
      <c r="I107" s="5"/>
      <c r="J107" s="5"/>
      <c r="K107" s="5"/>
      <c r="L107" s="5"/>
      <c r="M107" s="5"/>
      <c r="N107" s="5"/>
      <c r="O107" s="5"/>
      <c r="P107" s="5"/>
    </row>
    <row r="108" spans="1:16" ht="16.5">
      <c r="A108" s="93" t="s">
        <v>133</v>
      </c>
      <c r="B108" s="50"/>
      <c r="C108" s="50"/>
      <c r="D108" s="50"/>
      <c r="E108" s="50"/>
      <c r="F108" s="50"/>
      <c r="G108" s="5"/>
      <c r="H108" s="5"/>
      <c r="I108" s="5"/>
      <c r="J108" s="5"/>
      <c r="K108" s="5"/>
      <c r="L108" s="5"/>
      <c r="M108" s="5"/>
      <c r="N108" s="5"/>
      <c r="O108" s="5"/>
      <c r="P108" s="5"/>
    </row>
    <row r="109" spans="1:16" ht="16.5">
      <c r="A109" s="93" t="s">
        <v>134</v>
      </c>
      <c r="B109" s="50"/>
      <c r="C109" s="50"/>
      <c r="D109" s="50"/>
      <c r="E109" s="50"/>
      <c r="F109" s="50"/>
      <c r="G109" s="5"/>
      <c r="H109" s="5"/>
      <c r="I109" s="5"/>
      <c r="J109" s="5"/>
      <c r="K109" s="5"/>
      <c r="L109" s="5"/>
      <c r="M109" s="5"/>
      <c r="N109" s="5"/>
      <c r="O109" s="5"/>
      <c r="P109" s="5"/>
    </row>
    <row r="110" spans="1:16" ht="16.5">
      <c r="A110" s="93" t="s">
        <v>135</v>
      </c>
      <c r="B110" s="50"/>
      <c r="C110" s="50"/>
      <c r="D110" s="50"/>
      <c r="E110" s="50"/>
      <c r="F110" s="50"/>
      <c r="G110" s="5"/>
      <c r="H110" s="5"/>
      <c r="I110" s="5"/>
      <c r="J110" s="5"/>
      <c r="K110" s="5"/>
      <c r="L110" s="5"/>
      <c r="M110" s="5"/>
      <c r="N110" s="5"/>
      <c r="O110" s="5"/>
      <c r="P110" s="5"/>
    </row>
    <row r="111" spans="1:16" ht="16.5">
      <c r="A111" s="93" t="s">
        <v>136</v>
      </c>
      <c r="B111" s="100"/>
      <c r="C111" s="100"/>
      <c r="D111" s="100"/>
      <c r="E111" s="100"/>
      <c r="F111" s="100"/>
      <c r="G111" s="5"/>
      <c r="H111" s="5"/>
      <c r="I111" s="5"/>
      <c r="N111" s="5"/>
      <c r="O111" s="5"/>
      <c r="P111" s="5"/>
    </row>
    <row r="112" spans="1:16" ht="16.5">
      <c r="A112" s="97" t="s">
        <v>137</v>
      </c>
      <c r="B112" s="85"/>
      <c r="C112" s="85"/>
      <c r="D112" s="84">
        <f>D34-D85-D88-D93-D94-D95-D97+SUM(D102:D111)</f>
        <v>0</v>
      </c>
      <c r="E112" s="85"/>
      <c r="F112" s="85"/>
      <c r="G112" s="5"/>
      <c r="H112" s="5"/>
      <c r="I112" s="5"/>
      <c r="N112" s="5"/>
      <c r="O112" s="5"/>
      <c r="P112" s="5"/>
    </row>
    <row r="113" spans="1:16" ht="16.5">
      <c r="A113" s="43"/>
      <c r="B113" s="55"/>
      <c r="C113" s="55"/>
      <c r="D113" s="55"/>
      <c r="E113" s="55"/>
      <c r="F113" s="55"/>
      <c r="G113" s="5"/>
      <c r="H113" s="5"/>
      <c r="I113" s="5"/>
      <c r="N113" s="5"/>
      <c r="O113" s="5"/>
      <c r="P113" s="5"/>
    </row>
    <row r="114" spans="1:16" ht="16.5">
      <c r="A114" s="97" t="s">
        <v>138</v>
      </c>
      <c r="B114" s="101" t="s">
        <v>58</v>
      </c>
      <c r="C114" s="101" t="s">
        <v>59</v>
      </c>
      <c r="D114" s="101" t="s">
        <v>73</v>
      </c>
      <c r="E114" s="524" t="s">
        <v>139</v>
      </c>
      <c r="F114" s="524"/>
      <c r="G114" s="5"/>
      <c r="H114" s="5"/>
      <c r="I114" s="5"/>
      <c r="N114" s="5"/>
      <c r="O114" s="5"/>
      <c r="P114" s="5"/>
    </row>
    <row r="115" spans="1:16" ht="16.5">
      <c r="A115" s="102" t="s">
        <v>140</v>
      </c>
      <c r="B115" s="102"/>
      <c r="C115" s="102"/>
      <c r="D115" s="95">
        <f>D34-B10-D85-D88-D93-D94-D95-D97+D81+D82+F41</f>
        <v>0</v>
      </c>
      <c r="E115" s="517"/>
      <c r="F115" s="517"/>
      <c r="G115" s="5"/>
      <c r="H115" s="5"/>
      <c r="I115" s="5"/>
      <c r="N115" s="5"/>
      <c r="O115" s="5"/>
      <c r="P115" s="5"/>
    </row>
    <row r="116" spans="1:16" ht="16.5">
      <c r="A116" s="49" t="s">
        <v>141</v>
      </c>
      <c r="B116" s="68">
        <f>(D27+D28+D26)*0.9825</f>
        <v>0</v>
      </c>
      <c r="C116" s="83">
        <v>6.8000000000000005E-2</v>
      </c>
      <c r="D116" s="66">
        <f>B88*(1-C116)</f>
        <v>0</v>
      </c>
      <c r="E116" s="527"/>
      <c r="F116" s="527"/>
      <c r="G116" s="5"/>
      <c r="H116" s="5"/>
      <c r="I116" s="5"/>
      <c r="N116" s="5"/>
      <c r="O116" s="5"/>
      <c r="P116" s="5"/>
    </row>
    <row r="117" spans="1:16" ht="16.5">
      <c r="A117" s="103" t="s">
        <v>142</v>
      </c>
      <c r="B117" s="104" t="s">
        <v>58</v>
      </c>
      <c r="C117" s="104" t="s">
        <v>59</v>
      </c>
      <c r="D117" s="104" t="s">
        <v>73</v>
      </c>
      <c r="E117" s="528" t="s">
        <v>139</v>
      </c>
      <c r="F117" s="528"/>
      <c r="G117" s="5"/>
      <c r="H117" s="86"/>
      <c r="I117" s="5"/>
    </row>
    <row r="118" spans="1:16" ht="16.5">
      <c r="A118" s="49" t="s">
        <v>143</v>
      </c>
      <c r="B118" s="66">
        <f>D115+(B30*C30*0.962)</f>
        <v>0</v>
      </c>
      <c r="C118" s="83">
        <v>0</v>
      </c>
      <c r="D118" s="66">
        <f>B118*C118</f>
        <v>0</v>
      </c>
      <c r="E118" s="517"/>
      <c r="F118" s="517"/>
      <c r="G118" s="5"/>
      <c r="H118" s="5"/>
      <c r="I118" s="5"/>
    </row>
    <row r="119" spans="1:16" ht="16.5">
      <c r="A119" s="76"/>
      <c r="B119" s="76"/>
      <c r="C119" s="76"/>
      <c r="D119" s="76"/>
      <c r="E119" s="529"/>
      <c r="F119" s="529"/>
      <c r="G119" s="5"/>
      <c r="H119" s="5"/>
      <c r="I119" s="5"/>
    </row>
    <row r="120" spans="1:16" ht="16.5">
      <c r="A120" s="103" t="s">
        <v>144</v>
      </c>
      <c r="B120" s="526"/>
      <c r="C120" s="526"/>
      <c r="D120" s="105">
        <f>D112-D118</f>
        <v>0</v>
      </c>
      <c r="E120" s="526"/>
      <c r="F120" s="526"/>
      <c r="G120" s="5"/>
      <c r="H120" s="5"/>
      <c r="I120" s="5"/>
    </row>
    <row r="121" spans="1:16" ht="16.5">
      <c r="A121" s="76"/>
      <c r="B121" s="525"/>
      <c r="C121" s="525"/>
      <c r="D121" s="525"/>
      <c r="E121" s="525"/>
      <c r="F121" s="525"/>
      <c r="G121" s="5"/>
      <c r="H121" s="5"/>
      <c r="I121" s="86"/>
    </row>
    <row r="122" spans="1:16" ht="16.5">
      <c r="A122" s="103" t="s">
        <v>145</v>
      </c>
      <c r="B122" s="526"/>
      <c r="C122" s="526"/>
      <c r="D122" s="526"/>
      <c r="E122" s="526"/>
      <c r="F122" s="106">
        <f>D34+F85+F93+F94+F95+F97+F89+F90</f>
        <v>0</v>
      </c>
      <c r="G122" s="5"/>
      <c r="H122" s="5"/>
      <c r="I122" s="5"/>
    </row>
    <row r="123" spans="1:16" ht="15">
      <c r="A123" s="5"/>
      <c r="B123" s="5"/>
      <c r="C123" s="5"/>
      <c r="D123" s="5"/>
      <c r="E123" s="5"/>
      <c r="F123" s="5"/>
      <c r="G123" s="107"/>
      <c r="H123" s="5"/>
      <c r="I123" s="5"/>
    </row>
    <row r="124" spans="1:16" ht="15">
      <c r="A124" s="5"/>
      <c r="B124" s="5"/>
      <c r="C124" s="5"/>
      <c r="D124" s="5"/>
      <c r="E124" s="5"/>
      <c r="F124" s="5"/>
      <c r="G124" s="5"/>
      <c r="H124" s="107"/>
      <c r="I124" s="5"/>
    </row>
    <row r="125" spans="1:16" ht="15">
      <c r="A125" s="5"/>
      <c r="B125" s="5"/>
      <c r="C125" s="5"/>
      <c r="D125" s="5"/>
      <c r="E125" s="5"/>
      <c r="F125" s="5"/>
      <c r="G125" s="5"/>
      <c r="H125" s="5"/>
      <c r="I125" s="5"/>
    </row>
    <row r="126" spans="1:16" ht="15">
      <c r="A126" s="5"/>
      <c r="B126" s="5"/>
      <c r="C126" s="5"/>
      <c r="D126" s="5"/>
      <c r="E126" s="5"/>
      <c r="F126" s="5"/>
      <c r="G126" s="5"/>
      <c r="H126" s="5"/>
      <c r="I126" s="5"/>
    </row>
    <row r="127" spans="1:16" ht="15">
      <c r="A127" s="5"/>
      <c r="B127" s="5"/>
      <c r="C127" s="5"/>
      <c r="D127" s="5"/>
      <c r="E127" s="5"/>
      <c r="F127" s="5"/>
      <c r="G127" s="5"/>
      <c r="H127" s="5"/>
      <c r="I127" s="5"/>
    </row>
    <row r="128" spans="1:16" ht="15">
      <c r="A128" s="5"/>
      <c r="B128" s="5"/>
      <c r="C128" s="5"/>
      <c r="D128" s="5"/>
      <c r="E128" s="5"/>
      <c r="F128" s="5"/>
      <c r="G128" s="5"/>
      <c r="H128" s="5"/>
      <c r="I128" s="5"/>
    </row>
    <row r="129" spans="7:9" ht="15">
      <c r="G129" s="5"/>
      <c r="H129" s="5"/>
      <c r="I129" s="5"/>
    </row>
  </sheetData>
  <mergeCells count="70">
    <mergeCell ref="B121:F121"/>
    <mergeCell ref="B122:E122"/>
    <mergeCell ref="E116:F116"/>
    <mergeCell ref="E117:F117"/>
    <mergeCell ref="E118:F118"/>
    <mergeCell ref="E119:F119"/>
    <mergeCell ref="B120:C120"/>
    <mergeCell ref="E120:F120"/>
    <mergeCell ref="G52:G53"/>
    <mergeCell ref="G62:G63"/>
    <mergeCell ref="A85:C85"/>
    <mergeCell ref="A87:F87"/>
    <mergeCell ref="E114:F114"/>
    <mergeCell ref="E115:F115"/>
    <mergeCell ref="D34:F34"/>
    <mergeCell ref="A35:A36"/>
    <mergeCell ref="B35:B36"/>
    <mergeCell ref="C35:D35"/>
    <mergeCell ref="E35:F35"/>
    <mergeCell ref="G50:G51"/>
    <mergeCell ref="D28:F28"/>
    <mergeCell ref="D29:F29"/>
    <mergeCell ref="D30:F30"/>
    <mergeCell ref="D31:F31"/>
    <mergeCell ref="D32:F32"/>
    <mergeCell ref="D33:F33"/>
    <mergeCell ref="D27:F27"/>
    <mergeCell ref="B17:C17"/>
    <mergeCell ref="D17:F17"/>
    <mergeCell ref="D18:F18"/>
    <mergeCell ref="D19:F19"/>
    <mergeCell ref="D20:F20"/>
    <mergeCell ref="D21:F21"/>
    <mergeCell ref="D22:F22"/>
    <mergeCell ref="D23:F23"/>
    <mergeCell ref="D24:F24"/>
    <mergeCell ref="D25:F25"/>
    <mergeCell ref="D26:F26"/>
    <mergeCell ref="J15:J16"/>
    <mergeCell ref="K15:K16"/>
    <mergeCell ref="L15:L16"/>
    <mergeCell ref="M15:M16"/>
    <mergeCell ref="B16:C16"/>
    <mergeCell ref="D16:F16"/>
    <mergeCell ref="B13:C13"/>
    <mergeCell ref="D13:F13"/>
    <mergeCell ref="B14:C14"/>
    <mergeCell ref="D14:F14"/>
    <mergeCell ref="B15:C15"/>
    <mergeCell ref="D15:F15"/>
    <mergeCell ref="N7:N8"/>
    <mergeCell ref="O7:O8"/>
    <mergeCell ref="D8:E8"/>
    <mergeCell ref="D9:E9"/>
    <mergeCell ref="D10:E10"/>
    <mergeCell ref="K7:K8"/>
    <mergeCell ref="L7:L8"/>
    <mergeCell ref="M7:M8"/>
    <mergeCell ref="B12:C12"/>
    <mergeCell ref="D12:F12"/>
    <mergeCell ref="D6:E6"/>
    <mergeCell ref="D7:E7"/>
    <mergeCell ref="J7:J8"/>
    <mergeCell ref="D11:F11"/>
    <mergeCell ref="J5:P5"/>
    <mergeCell ref="D1:E1"/>
    <mergeCell ref="D2:E2"/>
    <mergeCell ref="D3:E3"/>
    <mergeCell ref="D4:E4"/>
    <mergeCell ref="D5:E5"/>
  </mergeCells>
  <pageMargins left="0" right="0" top="0.63464566929133914" bottom="0.63464566929133914" header="0" footer="0"/>
  <pageSetup paperSize="0" fitToWidth="0" fitToHeight="0" pageOrder="overThenDown" orientation="portrait" horizontalDpi="0" verticalDpi="0" copies="0"/>
  <headerFooter>
    <oddHeader>&amp;C&amp;"Calibri2,Regular"&amp;A</oddHeader>
    <oddFooter>&amp;C&amp;"Calibri2,Regular"Page &amp;P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5D122-CCE8-454B-A2BF-ADCA6EF6F8F2}">
  <dimension ref="A1:W45"/>
  <sheetViews>
    <sheetView workbookViewId="0">
      <selection activeCell="B3" sqref="B3:D3"/>
    </sheetView>
  </sheetViews>
  <sheetFormatPr baseColWidth="10" defaultColWidth="12.140625" defaultRowHeight="15" outlineLevelCol="1"/>
  <cols>
    <col min="1" max="1" width="8" style="108" customWidth="1"/>
    <col min="2" max="7" width="12.140625" style="110" customWidth="1"/>
    <col min="8" max="8" width="10.28515625" style="110" customWidth="1"/>
    <col min="9" max="9" width="14.42578125" style="110" customWidth="1" outlineLevel="1"/>
    <col min="10" max="10" width="11.140625" style="110" customWidth="1" outlineLevel="1"/>
    <col min="11" max="11" width="13.7109375" style="110" customWidth="1"/>
    <col min="12" max="12" width="12.140625" style="110" customWidth="1"/>
    <col min="13" max="13" width="13.28515625" style="110" customWidth="1"/>
    <col min="14" max="14" width="14.85546875" style="110" customWidth="1"/>
    <col min="15" max="18" width="12.140625" style="110" customWidth="1"/>
    <col min="19" max="19" width="8.85546875" style="110" customWidth="1"/>
    <col min="20" max="20" width="12.140625" style="110" customWidth="1"/>
    <col min="21" max="21" width="10.7109375" style="110" customWidth="1"/>
    <col min="22" max="23" width="12.140625" style="110" customWidth="1"/>
    <col min="24" max="24" width="12.140625" style="111" customWidth="1"/>
    <col min="25" max="16384" width="12.140625" style="111"/>
  </cols>
  <sheetData>
    <row r="1" spans="1:23">
      <c r="B1" s="109" t="s">
        <v>146</v>
      </c>
      <c r="C1" s="109"/>
      <c r="D1" s="109"/>
      <c r="E1" s="109"/>
      <c r="F1" s="109"/>
    </row>
    <row r="2" spans="1:23" ht="27.75" customHeight="1"/>
    <row r="3" spans="1:23" ht="25.5">
      <c r="A3" s="112"/>
      <c r="B3" s="613" t="s">
        <v>307</v>
      </c>
      <c r="C3" s="613"/>
      <c r="D3" s="613"/>
      <c r="E3" s="113"/>
      <c r="F3" s="113"/>
      <c r="G3" s="114" t="s">
        <v>147</v>
      </c>
      <c r="H3" s="115"/>
      <c r="I3" s="113"/>
      <c r="J3" s="113"/>
      <c r="K3" s="113"/>
      <c r="L3" s="113"/>
      <c r="M3" s="116" t="s">
        <v>148</v>
      </c>
      <c r="N3" s="113"/>
      <c r="O3" s="113"/>
      <c r="P3" s="117">
        <v>0.31940000000000002</v>
      </c>
      <c r="Q3" s="118"/>
      <c r="R3" s="113"/>
      <c r="S3" s="113"/>
      <c r="T3" s="113"/>
      <c r="U3" s="113"/>
      <c r="V3" s="113"/>
      <c r="W3" s="113"/>
    </row>
    <row r="4" spans="1:23">
      <c r="M4" s="116" t="s">
        <v>149</v>
      </c>
      <c r="P4" s="119">
        <v>0.32340000000000002</v>
      </c>
      <c r="Q4" s="120"/>
    </row>
    <row r="5" spans="1:23" ht="18.75">
      <c r="B5" s="121" t="s">
        <v>150</v>
      </c>
      <c r="C5" s="121"/>
      <c r="D5" s="121"/>
      <c r="E5" s="121"/>
      <c r="F5" s="121"/>
      <c r="G5" s="121"/>
      <c r="M5" s="116"/>
      <c r="P5" s="122"/>
      <c r="Q5" s="120"/>
    </row>
    <row r="6" spans="1:23">
      <c r="M6" s="116"/>
      <c r="P6" s="122"/>
      <c r="Q6" s="120"/>
    </row>
    <row r="7" spans="1:23" ht="45">
      <c r="A7" s="123" t="s">
        <v>151</v>
      </c>
      <c r="B7" s="124" t="s">
        <v>152</v>
      </c>
      <c r="C7" s="530" t="s">
        <v>153</v>
      </c>
      <c r="D7" s="530"/>
      <c r="E7" s="530" t="s">
        <v>154</v>
      </c>
      <c r="F7" s="530"/>
      <c r="G7" s="530" t="s">
        <v>155</v>
      </c>
      <c r="H7" s="530"/>
      <c r="I7" s="124" t="s">
        <v>156</v>
      </c>
      <c r="J7" s="124" t="s">
        <v>157</v>
      </c>
      <c r="K7" s="124" t="s">
        <v>156</v>
      </c>
      <c r="L7" s="530" t="s">
        <v>119</v>
      </c>
      <c r="M7" s="530"/>
      <c r="N7" s="124" t="s">
        <v>158</v>
      </c>
      <c r="O7" s="125"/>
      <c r="P7" s="125"/>
      <c r="Q7" s="125"/>
      <c r="R7" s="125"/>
      <c r="S7" s="125"/>
      <c r="T7" s="125"/>
      <c r="U7" s="125"/>
      <c r="V7" s="125"/>
      <c r="W7" s="125"/>
    </row>
    <row r="8" spans="1:23" ht="15" customHeight="1">
      <c r="A8" s="126"/>
      <c r="B8" s="127"/>
      <c r="C8" s="127" t="s">
        <v>30</v>
      </c>
      <c r="D8" s="127" t="s">
        <v>159</v>
      </c>
      <c r="E8" s="127" t="s">
        <v>30</v>
      </c>
      <c r="F8" s="127" t="s">
        <v>159</v>
      </c>
      <c r="G8" s="127" t="s">
        <v>30</v>
      </c>
      <c r="H8" s="127" t="s">
        <v>160</v>
      </c>
      <c r="I8" s="127"/>
      <c r="J8" s="127"/>
      <c r="K8" s="127"/>
      <c r="L8" s="127" t="s">
        <v>161</v>
      </c>
      <c r="M8" s="127" t="s">
        <v>162</v>
      </c>
      <c r="N8" s="127" t="s">
        <v>163</v>
      </c>
      <c r="O8" s="126"/>
      <c r="P8" s="126"/>
      <c r="Q8" s="126"/>
      <c r="R8" s="126"/>
      <c r="S8" s="126"/>
      <c r="T8" s="126"/>
      <c r="U8" s="126"/>
      <c r="V8" s="126"/>
      <c r="W8" s="126"/>
    </row>
    <row r="9" spans="1:23">
      <c r="A9" s="128">
        <v>11.65</v>
      </c>
      <c r="B9" s="129" t="s">
        <v>164</v>
      </c>
      <c r="C9" s="130">
        <v>0</v>
      </c>
      <c r="D9" s="131">
        <f>C9</f>
        <v>0</v>
      </c>
      <c r="E9" s="130">
        <f>151.67*A9</f>
        <v>1766.9554999999998</v>
      </c>
      <c r="F9" s="131">
        <f>E9</f>
        <v>1766.9554999999998</v>
      </c>
      <c r="G9" s="132">
        <f t="shared" ref="G9:H20" si="0">C9</f>
        <v>0</v>
      </c>
      <c r="H9" s="132">
        <f t="shared" si="0"/>
        <v>0</v>
      </c>
      <c r="I9" s="133">
        <f t="shared" ref="I9:I20" si="1">ROUND(IF(C9=0,0,IF($H$3&gt;=50,$P$4/0.6,$P$3/0.6)*(1.6*E9/C9-1)),4)</f>
        <v>0</v>
      </c>
      <c r="J9" s="133">
        <f t="shared" ref="J9:J20" si="2">IF($H$3&lt;50,$P$3,$P$4)</f>
        <v>0.31940000000000002</v>
      </c>
      <c r="K9" s="133">
        <f t="shared" ref="K9:K20" si="3">IF(I9&lt;0,0,MIN(I9,J9))</f>
        <v>0</v>
      </c>
      <c r="L9" s="132">
        <f>M9</f>
        <v>0</v>
      </c>
      <c r="M9" s="132">
        <f t="shared" ref="M9:M20" si="4">IF(I9*C9&lt;0,0,K9*C9)</f>
        <v>0</v>
      </c>
      <c r="N9" s="131"/>
    </row>
    <row r="10" spans="1:23">
      <c r="A10" s="128">
        <v>11.65</v>
      </c>
      <c r="B10" s="129" t="s">
        <v>165</v>
      </c>
      <c r="C10" s="130">
        <v>0</v>
      </c>
      <c r="D10" s="131">
        <f t="shared" ref="D10:D20" si="5">D9+C10</f>
        <v>0</v>
      </c>
      <c r="E10" s="130">
        <f>151.67*A10</f>
        <v>1766.9554999999998</v>
      </c>
      <c r="F10" s="131">
        <f t="shared" ref="F10:F20" si="6">F9+E10</f>
        <v>3533.9109999999996</v>
      </c>
      <c r="G10" s="132">
        <f t="shared" si="0"/>
        <v>0</v>
      </c>
      <c r="H10" s="132">
        <f t="shared" si="0"/>
        <v>0</v>
      </c>
      <c r="I10" s="133">
        <f t="shared" si="1"/>
        <v>0</v>
      </c>
      <c r="J10" s="133">
        <f t="shared" si="2"/>
        <v>0.31940000000000002</v>
      </c>
      <c r="K10" s="133">
        <f t="shared" si="3"/>
        <v>0</v>
      </c>
      <c r="L10" s="132">
        <f t="shared" ref="L10:L20" si="7">M10+L9</f>
        <v>0</v>
      </c>
      <c r="M10" s="132">
        <f t="shared" si="4"/>
        <v>0</v>
      </c>
      <c r="N10" s="131"/>
    </row>
    <row r="11" spans="1:23">
      <c r="A11" s="128">
        <v>11.65</v>
      </c>
      <c r="B11" s="129" t="s">
        <v>166</v>
      </c>
      <c r="C11" s="130">
        <v>0</v>
      </c>
      <c r="D11" s="131">
        <f t="shared" si="5"/>
        <v>0</v>
      </c>
      <c r="E11" s="130">
        <f>151.67*A11</f>
        <v>1766.9554999999998</v>
      </c>
      <c r="F11" s="131">
        <f t="shared" si="6"/>
        <v>5300.8664999999992</v>
      </c>
      <c r="G11" s="132">
        <f t="shared" si="0"/>
        <v>0</v>
      </c>
      <c r="H11" s="132">
        <f t="shared" si="0"/>
        <v>0</v>
      </c>
      <c r="I11" s="133">
        <f t="shared" si="1"/>
        <v>0</v>
      </c>
      <c r="J11" s="133">
        <f t="shared" si="2"/>
        <v>0.31940000000000002</v>
      </c>
      <c r="K11" s="133">
        <f t="shared" si="3"/>
        <v>0</v>
      </c>
      <c r="L11" s="132">
        <f t="shared" si="7"/>
        <v>0</v>
      </c>
      <c r="M11" s="132">
        <f t="shared" si="4"/>
        <v>0</v>
      </c>
      <c r="N11" s="131"/>
    </row>
    <row r="12" spans="1:23">
      <c r="A12" s="128">
        <v>11.65</v>
      </c>
      <c r="B12" s="129" t="s">
        <v>167</v>
      </c>
      <c r="C12" s="130">
        <v>0</v>
      </c>
      <c r="D12" s="131">
        <f t="shared" si="5"/>
        <v>0</v>
      </c>
      <c r="E12" s="130">
        <f>151.67*A12</f>
        <v>1766.9554999999998</v>
      </c>
      <c r="F12" s="131">
        <f t="shared" si="6"/>
        <v>7067.8219999999992</v>
      </c>
      <c r="G12" s="132">
        <f t="shared" si="0"/>
        <v>0</v>
      </c>
      <c r="H12" s="132">
        <f t="shared" si="0"/>
        <v>0</v>
      </c>
      <c r="I12" s="133">
        <f t="shared" si="1"/>
        <v>0</v>
      </c>
      <c r="J12" s="133">
        <f t="shared" si="2"/>
        <v>0.31940000000000002</v>
      </c>
      <c r="K12" s="133">
        <f t="shared" si="3"/>
        <v>0</v>
      </c>
      <c r="L12" s="132">
        <f t="shared" si="7"/>
        <v>0</v>
      </c>
      <c r="M12" s="132">
        <f t="shared" si="4"/>
        <v>0</v>
      </c>
      <c r="N12" s="131"/>
    </row>
    <row r="13" spans="1:23">
      <c r="A13" s="128">
        <v>11.65</v>
      </c>
      <c r="B13" s="129" t="s">
        <v>168</v>
      </c>
      <c r="C13" s="130">
        <v>0</v>
      </c>
      <c r="D13" s="131">
        <f t="shared" si="5"/>
        <v>0</v>
      </c>
      <c r="E13" s="130">
        <f t="shared" ref="E13:E20" si="8">+A13*151.67</f>
        <v>1766.9554999999998</v>
      </c>
      <c r="F13" s="131">
        <f t="shared" si="6"/>
        <v>8834.7774999999983</v>
      </c>
      <c r="G13" s="132">
        <f t="shared" si="0"/>
        <v>0</v>
      </c>
      <c r="H13" s="132">
        <f t="shared" si="0"/>
        <v>0</v>
      </c>
      <c r="I13" s="133">
        <f t="shared" si="1"/>
        <v>0</v>
      </c>
      <c r="J13" s="133">
        <f t="shared" si="2"/>
        <v>0.31940000000000002</v>
      </c>
      <c r="K13" s="133">
        <f t="shared" si="3"/>
        <v>0</v>
      </c>
      <c r="L13" s="132">
        <f t="shared" si="7"/>
        <v>0</v>
      </c>
      <c r="M13" s="132">
        <f t="shared" si="4"/>
        <v>0</v>
      </c>
      <c r="N13" s="131"/>
    </row>
    <row r="14" spans="1:23">
      <c r="A14" s="128">
        <v>11.65</v>
      </c>
      <c r="B14" s="129" t="s">
        <v>169</v>
      </c>
      <c r="C14" s="130">
        <v>0</v>
      </c>
      <c r="D14" s="131">
        <f t="shared" si="5"/>
        <v>0</v>
      </c>
      <c r="E14" s="130">
        <f t="shared" si="8"/>
        <v>1766.9554999999998</v>
      </c>
      <c r="F14" s="131">
        <f t="shared" si="6"/>
        <v>10601.732999999998</v>
      </c>
      <c r="G14" s="132">
        <f t="shared" si="0"/>
        <v>0</v>
      </c>
      <c r="H14" s="132">
        <f t="shared" si="0"/>
        <v>0</v>
      </c>
      <c r="I14" s="133">
        <f t="shared" si="1"/>
        <v>0</v>
      </c>
      <c r="J14" s="133">
        <f t="shared" si="2"/>
        <v>0.31940000000000002</v>
      </c>
      <c r="K14" s="133">
        <f t="shared" si="3"/>
        <v>0</v>
      </c>
      <c r="L14" s="132">
        <f t="shared" si="7"/>
        <v>0</v>
      </c>
      <c r="M14" s="132">
        <f t="shared" si="4"/>
        <v>0</v>
      </c>
      <c r="N14" s="131"/>
    </row>
    <row r="15" spans="1:23">
      <c r="A15" s="128">
        <v>11.65</v>
      </c>
      <c r="B15" s="129" t="s">
        <v>170</v>
      </c>
      <c r="C15" s="130">
        <v>0</v>
      </c>
      <c r="D15" s="131">
        <f t="shared" si="5"/>
        <v>0</v>
      </c>
      <c r="E15" s="130">
        <f t="shared" si="8"/>
        <v>1766.9554999999998</v>
      </c>
      <c r="F15" s="131">
        <f t="shared" si="6"/>
        <v>12368.688499999998</v>
      </c>
      <c r="G15" s="132">
        <f t="shared" si="0"/>
        <v>0</v>
      </c>
      <c r="H15" s="132">
        <f t="shared" si="0"/>
        <v>0</v>
      </c>
      <c r="I15" s="133">
        <f t="shared" si="1"/>
        <v>0</v>
      </c>
      <c r="J15" s="133">
        <f t="shared" si="2"/>
        <v>0.31940000000000002</v>
      </c>
      <c r="K15" s="133">
        <f t="shared" si="3"/>
        <v>0</v>
      </c>
      <c r="L15" s="132">
        <f t="shared" si="7"/>
        <v>0</v>
      </c>
      <c r="M15" s="132">
        <f t="shared" si="4"/>
        <v>0</v>
      </c>
      <c r="N15" s="131"/>
    </row>
    <row r="16" spans="1:23">
      <c r="A16" s="128">
        <v>11.65</v>
      </c>
      <c r="B16" s="129" t="s">
        <v>171</v>
      </c>
      <c r="C16" s="130">
        <v>0</v>
      </c>
      <c r="D16" s="131">
        <f t="shared" si="5"/>
        <v>0</v>
      </c>
      <c r="E16" s="130">
        <f t="shared" si="8"/>
        <v>1766.9554999999998</v>
      </c>
      <c r="F16" s="131">
        <f t="shared" si="6"/>
        <v>14135.643999999998</v>
      </c>
      <c r="G16" s="132">
        <f t="shared" si="0"/>
        <v>0</v>
      </c>
      <c r="H16" s="132">
        <f t="shared" si="0"/>
        <v>0</v>
      </c>
      <c r="I16" s="133">
        <f t="shared" si="1"/>
        <v>0</v>
      </c>
      <c r="J16" s="133">
        <f t="shared" si="2"/>
        <v>0.31940000000000002</v>
      </c>
      <c r="K16" s="133">
        <f t="shared" si="3"/>
        <v>0</v>
      </c>
      <c r="L16" s="132">
        <f t="shared" si="7"/>
        <v>0</v>
      </c>
      <c r="M16" s="132">
        <f t="shared" si="4"/>
        <v>0</v>
      </c>
      <c r="N16" s="131"/>
    </row>
    <row r="17" spans="1:23">
      <c r="A17" s="128">
        <v>11.65</v>
      </c>
      <c r="B17" s="129" t="s">
        <v>172</v>
      </c>
      <c r="C17" s="130">
        <v>0</v>
      </c>
      <c r="D17" s="131">
        <f t="shared" si="5"/>
        <v>0</v>
      </c>
      <c r="E17" s="130">
        <f t="shared" si="8"/>
        <v>1766.9554999999998</v>
      </c>
      <c r="F17" s="131">
        <f t="shared" si="6"/>
        <v>15902.599499999998</v>
      </c>
      <c r="G17" s="132">
        <f t="shared" si="0"/>
        <v>0</v>
      </c>
      <c r="H17" s="132">
        <f t="shared" si="0"/>
        <v>0</v>
      </c>
      <c r="I17" s="133">
        <f t="shared" si="1"/>
        <v>0</v>
      </c>
      <c r="J17" s="133">
        <f t="shared" si="2"/>
        <v>0.31940000000000002</v>
      </c>
      <c r="K17" s="133">
        <f t="shared" si="3"/>
        <v>0</v>
      </c>
      <c r="L17" s="132">
        <f t="shared" si="7"/>
        <v>0</v>
      </c>
      <c r="M17" s="132">
        <f t="shared" si="4"/>
        <v>0</v>
      </c>
      <c r="N17" s="131"/>
    </row>
    <row r="18" spans="1:23">
      <c r="A18" s="128">
        <v>11.65</v>
      </c>
      <c r="B18" s="129" t="s">
        <v>173</v>
      </c>
      <c r="C18" s="130">
        <v>0</v>
      </c>
      <c r="D18" s="131">
        <f t="shared" si="5"/>
        <v>0</v>
      </c>
      <c r="E18" s="130">
        <f t="shared" si="8"/>
        <v>1766.9554999999998</v>
      </c>
      <c r="F18" s="131">
        <f t="shared" si="6"/>
        <v>17669.554999999997</v>
      </c>
      <c r="G18" s="132">
        <f t="shared" si="0"/>
        <v>0</v>
      </c>
      <c r="H18" s="132">
        <f t="shared" si="0"/>
        <v>0</v>
      </c>
      <c r="I18" s="133">
        <f t="shared" si="1"/>
        <v>0</v>
      </c>
      <c r="J18" s="133">
        <f t="shared" si="2"/>
        <v>0.31940000000000002</v>
      </c>
      <c r="K18" s="133">
        <f t="shared" si="3"/>
        <v>0</v>
      </c>
      <c r="L18" s="132">
        <f t="shared" si="7"/>
        <v>0</v>
      </c>
      <c r="M18" s="132">
        <f t="shared" si="4"/>
        <v>0</v>
      </c>
      <c r="N18" s="131"/>
    </row>
    <row r="19" spans="1:23">
      <c r="A19" s="128">
        <v>11.65</v>
      </c>
      <c r="B19" s="129" t="s">
        <v>174</v>
      </c>
      <c r="C19" s="130">
        <v>0</v>
      </c>
      <c r="D19" s="131">
        <f t="shared" si="5"/>
        <v>0</v>
      </c>
      <c r="E19" s="130">
        <f t="shared" si="8"/>
        <v>1766.9554999999998</v>
      </c>
      <c r="F19" s="131">
        <f t="shared" si="6"/>
        <v>19436.510499999997</v>
      </c>
      <c r="G19" s="132">
        <f t="shared" si="0"/>
        <v>0</v>
      </c>
      <c r="H19" s="132">
        <f t="shared" si="0"/>
        <v>0</v>
      </c>
      <c r="I19" s="133">
        <f t="shared" si="1"/>
        <v>0</v>
      </c>
      <c r="J19" s="133">
        <f t="shared" si="2"/>
        <v>0.31940000000000002</v>
      </c>
      <c r="K19" s="133">
        <f t="shared" si="3"/>
        <v>0</v>
      </c>
      <c r="L19" s="132">
        <f t="shared" si="7"/>
        <v>0</v>
      </c>
      <c r="M19" s="132">
        <f t="shared" si="4"/>
        <v>0</v>
      </c>
      <c r="N19" s="131"/>
    </row>
    <row r="20" spans="1:23">
      <c r="A20" s="128">
        <v>11.65</v>
      </c>
      <c r="B20" s="129" t="s">
        <v>175</v>
      </c>
      <c r="C20" s="130">
        <v>0</v>
      </c>
      <c r="D20" s="131">
        <f t="shared" si="5"/>
        <v>0</v>
      </c>
      <c r="E20" s="130">
        <f t="shared" si="8"/>
        <v>1766.9554999999998</v>
      </c>
      <c r="F20" s="131">
        <f t="shared" si="6"/>
        <v>21203.465999999997</v>
      </c>
      <c r="G20" s="132">
        <f t="shared" si="0"/>
        <v>0</v>
      </c>
      <c r="H20" s="132">
        <f t="shared" si="0"/>
        <v>0</v>
      </c>
      <c r="I20" s="133">
        <f t="shared" si="1"/>
        <v>0</v>
      </c>
      <c r="J20" s="133">
        <f t="shared" si="2"/>
        <v>0.31940000000000002</v>
      </c>
      <c r="K20" s="133">
        <f t="shared" si="3"/>
        <v>0</v>
      </c>
      <c r="L20" s="132">
        <f t="shared" si="7"/>
        <v>0</v>
      </c>
      <c r="M20" s="132">
        <f t="shared" si="4"/>
        <v>0</v>
      </c>
      <c r="N20" s="131"/>
    </row>
    <row r="21" spans="1:23">
      <c r="B21" s="129" t="s">
        <v>176</v>
      </c>
      <c r="C21" s="132">
        <f>SUM(C9:C20)</f>
        <v>0</v>
      </c>
      <c r="D21" s="134"/>
      <c r="E21" s="131">
        <f>SUM(E9:E20)</f>
        <v>21203.465999999997</v>
      </c>
      <c r="F21" s="134"/>
      <c r="G21" s="132">
        <f>SUM(G9:G20)</f>
        <v>0</v>
      </c>
      <c r="H21" s="134"/>
      <c r="I21" s="133"/>
      <c r="J21" s="133"/>
      <c r="K21" s="133"/>
      <c r="L21" s="132"/>
      <c r="M21" s="132">
        <f>SUM(M9:M20)</f>
        <v>0</v>
      </c>
      <c r="N21" s="135" t="e">
        <f>N22-M21</f>
        <v>#DIV/0!</v>
      </c>
    </row>
    <row r="22" spans="1:23">
      <c r="G22" s="136" t="s">
        <v>177</v>
      </c>
      <c r="H22" s="136"/>
      <c r="I22" s="136"/>
      <c r="K22" s="137"/>
      <c r="L22" s="138"/>
      <c r="M22" s="133" t="e">
        <f>ROUND(IF(H3&gt;=50,P4/0.6*(1.6*E21/C21-1),P3/0.6*(1.6*E21/C21-1)),4)</f>
        <v>#DIV/0!</v>
      </c>
      <c r="N22" s="132" t="e">
        <f>IF(M22&lt;0,0,M22*H20)</f>
        <v>#DIV/0!</v>
      </c>
      <c r="O22" s="139"/>
    </row>
    <row r="23" spans="1:23">
      <c r="J23" s="140" t="s">
        <v>178</v>
      </c>
      <c r="O23" s="141"/>
    </row>
    <row r="24" spans="1:23">
      <c r="J24" s="140" t="s">
        <v>179</v>
      </c>
      <c r="O24" s="141"/>
    </row>
    <row r="25" spans="1:23">
      <c r="J25" s="140"/>
      <c r="O25" s="141"/>
    </row>
    <row r="26" spans="1:23" ht="18.75">
      <c r="B26" s="121" t="s">
        <v>180</v>
      </c>
      <c r="C26" s="121"/>
      <c r="D26" s="121"/>
      <c r="E26" s="121"/>
      <c r="F26" s="121"/>
      <c r="G26" s="121"/>
      <c r="J26" s="140"/>
    </row>
    <row r="28" spans="1:23" ht="60" customHeight="1">
      <c r="A28" s="125"/>
      <c r="B28" s="124" t="s">
        <v>152</v>
      </c>
      <c r="C28" s="530" t="s">
        <v>181</v>
      </c>
      <c r="D28" s="530"/>
      <c r="E28" s="530" t="s">
        <v>154</v>
      </c>
      <c r="F28" s="530"/>
      <c r="G28" s="530" t="s">
        <v>182</v>
      </c>
      <c r="H28" s="530"/>
      <c r="I28" s="124" t="s">
        <v>156</v>
      </c>
      <c r="J28" s="124" t="str">
        <f>+J7</f>
        <v>Valeur T</v>
      </c>
      <c r="K28" s="124" t="s">
        <v>156</v>
      </c>
      <c r="L28" s="530" t="s">
        <v>119</v>
      </c>
      <c r="M28" s="530"/>
      <c r="N28" s="125"/>
      <c r="O28" s="125"/>
      <c r="P28" s="125"/>
      <c r="Q28" s="125"/>
      <c r="R28" s="125"/>
      <c r="S28" s="125"/>
      <c r="T28" s="125"/>
      <c r="U28" s="125"/>
      <c r="V28" s="125"/>
      <c r="W28" s="125"/>
    </row>
    <row r="29" spans="1:23">
      <c r="A29" s="126"/>
      <c r="B29" s="127"/>
      <c r="C29" s="127" t="s">
        <v>30</v>
      </c>
      <c r="D29" s="127" t="s">
        <v>159</v>
      </c>
      <c r="E29" s="127" t="s">
        <v>30</v>
      </c>
      <c r="F29" s="127" t="s">
        <v>159</v>
      </c>
      <c r="G29" s="127" t="s">
        <v>30</v>
      </c>
      <c r="H29" s="127" t="s">
        <v>160</v>
      </c>
      <c r="I29" s="127"/>
      <c r="J29" s="127"/>
      <c r="K29" s="127"/>
      <c r="L29" s="127" t="s">
        <v>161</v>
      </c>
      <c r="M29" s="127" t="s">
        <v>162</v>
      </c>
      <c r="N29" s="126"/>
      <c r="O29" s="126"/>
      <c r="P29" s="126"/>
      <c r="Q29" s="126"/>
      <c r="R29" s="126"/>
      <c r="S29" s="126"/>
      <c r="T29" s="126"/>
      <c r="U29" s="126"/>
      <c r="V29" s="126"/>
      <c r="W29" s="126"/>
    </row>
    <row r="30" spans="1:23">
      <c r="B30" s="129" t="s">
        <v>164</v>
      </c>
      <c r="C30" s="132">
        <f t="shared" ref="C30:C41" si="9">C9</f>
        <v>0</v>
      </c>
      <c r="D30" s="132">
        <f>C30</f>
        <v>0</v>
      </c>
      <c r="E30" s="131">
        <f t="shared" ref="E30:E41" si="10">E9</f>
        <v>1766.9554999999998</v>
      </c>
      <c r="F30" s="131">
        <f>E30</f>
        <v>1766.9554999999998</v>
      </c>
      <c r="G30" s="132">
        <f t="shared" ref="G30:G41" si="11">G9</f>
        <v>0</v>
      </c>
      <c r="H30" s="132">
        <f t="shared" ref="H30:H41" si="12">D30</f>
        <v>0</v>
      </c>
      <c r="I30" s="133">
        <f t="shared" ref="I30:I41" si="13">ROUND(IF(D30=0,0,IF($H$3&gt;=50,$P$4/0.6,$P$3/0.6)*(1.6*F30/D30-1)),4)</f>
        <v>0</v>
      </c>
      <c r="J30" s="133">
        <f t="shared" ref="J30:J41" si="14">IF($H$3&lt;50,$P$3,$P$4)</f>
        <v>0.31940000000000002</v>
      </c>
      <c r="K30" s="133">
        <f t="shared" ref="K30:K41" si="15">IF(I30&lt;0,0,MIN(I30,J30))</f>
        <v>0</v>
      </c>
      <c r="L30" s="132">
        <f t="shared" ref="L30:L41" si="16">K30*H30</f>
        <v>0</v>
      </c>
      <c r="M30" s="142">
        <f>+L30</f>
        <v>0</v>
      </c>
    </row>
    <row r="31" spans="1:23">
      <c r="B31" s="129" t="s">
        <v>165</v>
      </c>
      <c r="C31" s="132">
        <f t="shared" si="9"/>
        <v>0</v>
      </c>
      <c r="D31" s="132">
        <f t="shared" ref="D31:D41" si="17">D30+C31</f>
        <v>0</v>
      </c>
      <c r="E31" s="131">
        <f t="shared" si="10"/>
        <v>1766.9554999999998</v>
      </c>
      <c r="F31" s="131">
        <f t="shared" ref="F31:F41" si="18">F30+E31</f>
        <v>3533.9109999999996</v>
      </c>
      <c r="G31" s="132">
        <f t="shared" si="11"/>
        <v>0</v>
      </c>
      <c r="H31" s="132">
        <f t="shared" si="12"/>
        <v>0</v>
      </c>
      <c r="I31" s="133">
        <f t="shared" si="13"/>
        <v>0</v>
      </c>
      <c r="J31" s="133">
        <f t="shared" si="14"/>
        <v>0.31940000000000002</v>
      </c>
      <c r="K31" s="133">
        <f t="shared" si="15"/>
        <v>0</v>
      </c>
      <c r="L31" s="132">
        <f t="shared" si="16"/>
        <v>0</v>
      </c>
      <c r="M31" s="142">
        <f t="shared" ref="M31:M41" si="19">+L31-L30</f>
        <v>0</v>
      </c>
    </row>
    <row r="32" spans="1:23">
      <c r="B32" s="129" t="s">
        <v>166</v>
      </c>
      <c r="C32" s="132">
        <f t="shared" si="9"/>
        <v>0</v>
      </c>
      <c r="D32" s="132">
        <f t="shared" si="17"/>
        <v>0</v>
      </c>
      <c r="E32" s="131">
        <f t="shared" si="10"/>
        <v>1766.9554999999998</v>
      </c>
      <c r="F32" s="131">
        <f t="shared" si="18"/>
        <v>5300.8664999999992</v>
      </c>
      <c r="G32" s="132">
        <f t="shared" si="11"/>
        <v>0</v>
      </c>
      <c r="H32" s="132">
        <f t="shared" si="12"/>
        <v>0</v>
      </c>
      <c r="I32" s="133">
        <f t="shared" si="13"/>
        <v>0</v>
      </c>
      <c r="J32" s="133">
        <f t="shared" si="14"/>
        <v>0.31940000000000002</v>
      </c>
      <c r="K32" s="133">
        <f t="shared" si="15"/>
        <v>0</v>
      </c>
      <c r="L32" s="132">
        <f t="shared" si="16"/>
        <v>0</v>
      </c>
      <c r="M32" s="142">
        <f t="shared" si="19"/>
        <v>0</v>
      </c>
    </row>
    <row r="33" spans="2:13">
      <c r="B33" s="129" t="s">
        <v>167</v>
      </c>
      <c r="C33" s="132">
        <f t="shared" si="9"/>
        <v>0</v>
      </c>
      <c r="D33" s="132">
        <f t="shared" si="17"/>
        <v>0</v>
      </c>
      <c r="E33" s="131">
        <f t="shared" si="10"/>
        <v>1766.9554999999998</v>
      </c>
      <c r="F33" s="131">
        <f t="shared" si="18"/>
        <v>7067.8219999999992</v>
      </c>
      <c r="G33" s="132">
        <f t="shared" si="11"/>
        <v>0</v>
      </c>
      <c r="H33" s="132">
        <f t="shared" si="12"/>
        <v>0</v>
      </c>
      <c r="I33" s="133">
        <f t="shared" si="13"/>
        <v>0</v>
      </c>
      <c r="J33" s="133">
        <f t="shared" si="14"/>
        <v>0.31940000000000002</v>
      </c>
      <c r="K33" s="133">
        <f t="shared" si="15"/>
        <v>0</v>
      </c>
      <c r="L33" s="132">
        <f t="shared" si="16"/>
        <v>0</v>
      </c>
      <c r="M33" s="142">
        <f t="shared" si="19"/>
        <v>0</v>
      </c>
    </row>
    <row r="34" spans="2:13">
      <c r="B34" s="129" t="s">
        <v>168</v>
      </c>
      <c r="C34" s="132">
        <f t="shared" si="9"/>
        <v>0</v>
      </c>
      <c r="D34" s="132">
        <f t="shared" si="17"/>
        <v>0</v>
      </c>
      <c r="E34" s="131">
        <f t="shared" si="10"/>
        <v>1766.9554999999998</v>
      </c>
      <c r="F34" s="131">
        <f t="shared" si="18"/>
        <v>8834.7774999999983</v>
      </c>
      <c r="G34" s="132">
        <f t="shared" si="11"/>
        <v>0</v>
      </c>
      <c r="H34" s="132">
        <f t="shared" si="12"/>
        <v>0</v>
      </c>
      <c r="I34" s="133">
        <f t="shared" si="13"/>
        <v>0</v>
      </c>
      <c r="J34" s="133">
        <f t="shared" si="14"/>
        <v>0.31940000000000002</v>
      </c>
      <c r="K34" s="133">
        <f t="shared" si="15"/>
        <v>0</v>
      </c>
      <c r="L34" s="132">
        <f t="shared" si="16"/>
        <v>0</v>
      </c>
      <c r="M34" s="142">
        <f t="shared" si="19"/>
        <v>0</v>
      </c>
    </row>
    <row r="35" spans="2:13">
      <c r="B35" s="129" t="s">
        <v>169</v>
      </c>
      <c r="C35" s="132">
        <f t="shared" si="9"/>
        <v>0</v>
      </c>
      <c r="D35" s="132">
        <f t="shared" si="17"/>
        <v>0</v>
      </c>
      <c r="E35" s="131">
        <f t="shared" si="10"/>
        <v>1766.9554999999998</v>
      </c>
      <c r="F35" s="131">
        <f t="shared" si="18"/>
        <v>10601.732999999998</v>
      </c>
      <c r="G35" s="132">
        <f t="shared" si="11"/>
        <v>0</v>
      </c>
      <c r="H35" s="132">
        <f t="shared" si="12"/>
        <v>0</v>
      </c>
      <c r="I35" s="133">
        <f t="shared" si="13"/>
        <v>0</v>
      </c>
      <c r="J35" s="133">
        <f t="shared" si="14"/>
        <v>0.31940000000000002</v>
      </c>
      <c r="K35" s="133">
        <f t="shared" si="15"/>
        <v>0</v>
      </c>
      <c r="L35" s="132">
        <f t="shared" si="16"/>
        <v>0</v>
      </c>
      <c r="M35" s="142">
        <f t="shared" si="19"/>
        <v>0</v>
      </c>
    </row>
    <row r="36" spans="2:13">
      <c r="B36" s="129" t="s">
        <v>170</v>
      </c>
      <c r="C36" s="132">
        <f t="shared" si="9"/>
        <v>0</v>
      </c>
      <c r="D36" s="132">
        <f t="shared" si="17"/>
        <v>0</v>
      </c>
      <c r="E36" s="131">
        <f t="shared" si="10"/>
        <v>1766.9554999999998</v>
      </c>
      <c r="F36" s="131">
        <f t="shared" si="18"/>
        <v>12368.688499999998</v>
      </c>
      <c r="G36" s="132">
        <f t="shared" si="11"/>
        <v>0</v>
      </c>
      <c r="H36" s="132">
        <f t="shared" si="12"/>
        <v>0</v>
      </c>
      <c r="I36" s="133">
        <f t="shared" si="13"/>
        <v>0</v>
      </c>
      <c r="J36" s="133">
        <f t="shared" si="14"/>
        <v>0.31940000000000002</v>
      </c>
      <c r="K36" s="133">
        <f t="shared" si="15"/>
        <v>0</v>
      </c>
      <c r="L36" s="132">
        <f t="shared" si="16"/>
        <v>0</v>
      </c>
      <c r="M36" s="142">
        <f t="shared" si="19"/>
        <v>0</v>
      </c>
    </row>
    <row r="37" spans="2:13">
      <c r="B37" s="129" t="s">
        <v>171</v>
      </c>
      <c r="C37" s="132">
        <f t="shared" si="9"/>
        <v>0</v>
      </c>
      <c r="D37" s="132">
        <f t="shared" si="17"/>
        <v>0</v>
      </c>
      <c r="E37" s="131">
        <f t="shared" si="10"/>
        <v>1766.9554999999998</v>
      </c>
      <c r="F37" s="131">
        <f t="shared" si="18"/>
        <v>14135.643999999998</v>
      </c>
      <c r="G37" s="132">
        <f t="shared" si="11"/>
        <v>0</v>
      </c>
      <c r="H37" s="132">
        <f t="shared" si="12"/>
        <v>0</v>
      </c>
      <c r="I37" s="133">
        <f t="shared" si="13"/>
        <v>0</v>
      </c>
      <c r="J37" s="133">
        <f t="shared" si="14"/>
        <v>0.31940000000000002</v>
      </c>
      <c r="K37" s="133">
        <f t="shared" si="15"/>
        <v>0</v>
      </c>
      <c r="L37" s="132">
        <f t="shared" si="16"/>
        <v>0</v>
      </c>
      <c r="M37" s="142">
        <f t="shared" si="19"/>
        <v>0</v>
      </c>
    </row>
    <row r="38" spans="2:13">
      <c r="B38" s="129" t="s">
        <v>172</v>
      </c>
      <c r="C38" s="132">
        <f t="shared" si="9"/>
        <v>0</v>
      </c>
      <c r="D38" s="132">
        <f t="shared" si="17"/>
        <v>0</v>
      </c>
      <c r="E38" s="131">
        <f t="shared" si="10"/>
        <v>1766.9554999999998</v>
      </c>
      <c r="F38" s="131">
        <f t="shared" si="18"/>
        <v>15902.599499999998</v>
      </c>
      <c r="G38" s="132">
        <f t="shared" si="11"/>
        <v>0</v>
      </c>
      <c r="H38" s="132">
        <f t="shared" si="12"/>
        <v>0</v>
      </c>
      <c r="I38" s="133">
        <f t="shared" si="13"/>
        <v>0</v>
      </c>
      <c r="J38" s="133">
        <f t="shared" si="14"/>
        <v>0.31940000000000002</v>
      </c>
      <c r="K38" s="133">
        <f t="shared" si="15"/>
        <v>0</v>
      </c>
      <c r="L38" s="132">
        <f t="shared" si="16"/>
        <v>0</v>
      </c>
      <c r="M38" s="142">
        <f t="shared" si="19"/>
        <v>0</v>
      </c>
    </row>
    <row r="39" spans="2:13">
      <c r="B39" s="129" t="s">
        <v>173</v>
      </c>
      <c r="C39" s="132">
        <f t="shared" si="9"/>
        <v>0</v>
      </c>
      <c r="D39" s="132">
        <f t="shared" si="17"/>
        <v>0</v>
      </c>
      <c r="E39" s="131">
        <f>E18</f>
        <v>1766.9554999999998</v>
      </c>
      <c r="F39" s="131">
        <f t="shared" si="18"/>
        <v>17669.554999999997</v>
      </c>
      <c r="G39" s="132">
        <f t="shared" si="11"/>
        <v>0</v>
      </c>
      <c r="H39" s="132">
        <f t="shared" si="12"/>
        <v>0</v>
      </c>
      <c r="I39" s="133">
        <f t="shared" si="13"/>
        <v>0</v>
      </c>
      <c r="J39" s="133">
        <f t="shared" si="14"/>
        <v>0.31940000000000002</v>
      </c>
      <c r="K39" s="133">
        <f t="shared" si="15"/>
        <v>0</v>
      </c>
      <c r="L39" s="132">
        <f t="shared" si="16"/>
        <v>0</v>
      </c>
      <c r="M39" s="142">
        <f t="shared" si="19"/>
        <v>0</v>
      </c>
    </row>
    <row r="40" spans="2:13">
      <c r="B40" s="129" t="s">
        <v>174</v>
      </c>
      <c r="C40" s="132">
        <f t="shared" si="9"/>
        <v>0</v>
      </c>
      <c r="D40" s="132">
        <f t="shared" si="17"/>
        <v>0</v>
      </c>
      <c r="E40" s="131">
        <f t="shared" si="10"/>
        <v>1766.9554999999998</v>
      </c>
      <c r="F40" s="131">
        <f t="shared" si="18"/>
        <v>19436.510499999997</v>
      </c>
      <c r="G40" s="132">
        <f t="shared" si="11"/>
        <v>0</v>
      </c>
      <c r="H40" s="132">
        <f t="shared" si="12"/>
        <v>0</v>
      </c>
      <c r="I40" s="133">
        <f t="shared" si="13"/>
        <v>0</v>
      </c>
      <c r="J40" s="133">
        <f t="shared" si="14"/>
        <v>0.31940000000000002</v>
      </c>
      <c r="K40" s="133">
        <f t="shared" si="15"/>
        <v>0</v>
      </c>
      <c r="L40" s="132">
        <f t="shared" si="16"/>
        <v>0</v>
      </c>
      <c r="M40" s="142">
        <f t="shared" si="19"/>
        <v>0</v>
      </c>
    </row>
    <row r="41" spans="2:13">
      <c r="B41" s="143" t="s">
        <v>175</v>
      </c>
      <c r="C41" s="132">
        <f t="shared" si="9"/>
        <v>0</v>
      </c>
      <c r="D41" s="144">
        <f t="shared" si="17"/>
        <v>0</v>
      </c>
      <c r="E41" s="131">
        <f t="shared" si="10"/>
        <v>1766.9554999999998</v>
      </c>
      <c r="F41" s="145">
        <f t="shared" si="18"/>
        <v>21203.465999999997</v>
      </c>
      <c r="G41" s="132">
        <f t="shared" si="11"/>
        <v>0</v>
      </c>
      <c r="H41" s="144">
        <f t="shared" si="12"/>
        <v>0</v>
      </c>
      <c r="I41" s="133">
        <f t="shared" si="13"/>
        <v>0</v>
      </c>
      <c r="J41" s="133">
        <f t="shared" si="14"/>
        <v>0.31940000000000002</v>
      </c>
      <c r="K41" s="133">
        <f t="shared" si="15"/>
        <v>0</v>
      </c>
      <c r="L41" s="132">
        <f t="shared" si="16"/>
        <v>0</v>
      </c>
      <c r="M41" s="142">
        <f t="shared" si="19"/>
        <v>0</v>
      </c>
    </row>
    <row r="42" spans="2:13">
      <c r="B42" s="129" t="s">
        <v>176</v>
      </c>
      <c r="C42" s="132">
        <f>+C21</f>
        <v>0</v>
      </c>
      <c r="D42" s="134"/>
      <c r="E42" s="131">
        <f>SUM(E30:E41)</f>
        <v>21203.465999999997</v>
      </c>
      <c r="F42" s="134"/>
      <c r="G42" s="132">
        <f>SUM(G30:G41)</f>
        <v>0</v>
      </c>
      <c r="H42" s="132"/>
      <c r="I42" s="133"/>
      <c r="J42" s="133"/>
      <c r="K42" s="133"/>
      <c r="L42" s="132"/>
      <c r="M42" s="142">
        <f>SUM(M30:M41)</f>
        <v>0</v>
      </c>
    </row>
    <row r="43" spans="2:13">
      <c r="B43" s="141"/>
    </row>
    <row r="44" spans="2:13">
      <c r="B44" s="141"/>
    </row>
    <row r="45" spans="2:13">
      <c r="B45" s="141"/>
    </row>
  </sheetData>
  <mergeCells count="9">
    <mergeCell ref="B3:D3"/>
    <mergeCell ref="C7:D7"/>
    <mergeCell ref="E7:F7"/>
    <mergeCell ref="G7:H7"/>
    <mergeCell ref="L7:M7"/>
    <mergeCell ref="C28:D28"/>
    <mergeCell ref="E28:F28"/>
    <mergeCell ref="G28:H28"/>
    <mergeCell ref="L28:M28"/>
  </mergeCells>
  <pageMargins left="0" right="0" top="0.39370078740157505" bottom="0.39370078740157505" header="0" footer="0"/>
  <pageSetup paperSize="0" fitToWidth="0" fitToHeight="0" pageOrder="overThenDown" horizontalDpi="0" verticalDpi="0" copies="0"/>
  <headerFooter>
    <oddHeader>&amp;C&amp;A</oddHeader>
    <oddFooter>&amp;CPágina &amp;P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2B988-F802-40BD-B4A9-409E3E2F1F2B}">
  <dimension ref="A1:R26"/>
  <sheetViews>
    <sheetView workbookViewId="0">
      <selection activeCell="C3" sqref="C3:E3"/>
    </sheetView>
  </sheetViews>
  <sheetFormatPr baseColWidth="10" defaultColWidth="12.140625" defaultRowHeight="15"/>
  <cols>
    <col min="1" max="1" width="14.85546875" style="146" customWidth="1"/>
    <col min="2" max="2" width="9.5703125" style="148" customWidth="1"/>
    <col min="3" max="4" width="10.28515625" style="148" customWidth="1"/>
    <col min="5" max="5" width="10.7109375" style="148" customWidth="1"/>
    <col min="6" max="6" width="10.28515625" style="148" customWidth="1"/>
    <col min="7" max="7" width="9.5703125" style="148" customWidth="1"/>
    <col min="8" max="8" width="12.5703125" style="148" customWidth="1"/>
    <col min="9" max="9" width="9.28515625" style="148" customWidth="1"/>
    <col min="10" max="10" width="11" style="148" customWidth="1"/>
    <col min="11" max="11" width="10.42578125" style="148" customWidth="1"/>
    <col min="12" max="12" width="9.5703125" style="148" customWidth="1"/>
    <col min="13" max="13" width="10.28515625" style="148" customWidth="1"/>
    <col min="14" max="14" width="12" style="148" customWidth="1"/>
    <col min="15" max="15" width="8.42578125" style="148" customWidth="1"/>
    <col min="16" max="16" width="10.7109375" style="149" customWidth="1"/>
    <col min="17" max="17" width="10.28515625" style="148" customWidth="1"/>
    <col min="18" max="18" width="13.140625" style="148" customWidth="1"/>
    <col min="19" max="19" width="12.140625" style="150" customWidth="1"/>
    <col min="20" max="16384" width="12.140625" style="150"/>
  </cols>
  <sheetData>
    <row r="1" spans="1:18">
      <c r="B1" s="147" t="s">
        <v>183</v>
      </c>
    </row>
    <row r="2" spans="1:18">
      <c r="B2" s="147"/>
    </row>
    <row r="3" spans="1:18" ht="18.75">
      <c r="C3" s="613" t="s">
        <v>307</v>
      </c>
      <c r="D3" s="613"/>
      <c r="E3" s="613"/>
    </row>
    <row r="4" spans="1:18" ht="21" customHeight="1">
      <c r="I4" s="532" t="s">
        <v>184</v>
      </c>
      <c r="J4" s="532"/>
      <c r="K4" s="532"/>
      <c r="L4" s="532"/>
      <c r="M4" s="532"/>
      <c r="N4" s="533" t="s">
        <v>185</v>
      </c>
      <c r="O4" s="533"/>
      <c r="P4" s="533"/>
      <c r="Q4" s="533"/>
    </row>
    <row r="5" spans="1:18" ht="37.5" customHeight="1">
      <c r="A5" s="151"/>
      <c r="B5" s="152" t="s">
        <v>30</v>
      </c>
      <c r="C5" s="152" t="s">
        <v>186</v>
      </c>
      <c r="D5" s="153" t="s">
        <v>187</v>
      </c>
      <c r="E5" s="152" t="s">
        <v>188</v>
      </c>
      <c r="F5" s="153" t="s">
        <v>189</v>
      </c>
      <c r="G5" s="152" t="s">
        <v>190</v>
      </c>
      <c r="H5" s="153" t="s">
        <v>191</v>
      </c>
      <c r="I5" s="154" t="s">
        <v>59</v>
      </c>
      <c r="J5" s="534">
        <v>3.4500000000000003E-2</v>
      </c>
      <c r="K5" s="534"/>
      <c r="L5" s="534">
        <v>1.7999999999999999E-2</v>
      </c>
      <c r="M5" s="534"/>
      <c r="N5" s="155" t="s">
        <v>59</v>
      </c>
      <c r="O5" s="156" t="s">
        <v>192</v>
      </c>
      <c r="P5" s="157">
        <v>3.4500000000000003E-2</v>
      </c>
      <c r="Q5" s="157">
        <v>1.7999999999999999E-2</v>
      </c>
      <c r="R5" s="151"/>
    </row>
    <row r="6" spans="1:18" ht="27.75" customHeight="1">
      <c r="A6" s="151" t="s">
        <v>193</v>
      </c>
      <c r="B6" s="152"/>
      <c r="C6" s="152"/>
      <c r="D6" s="153"/>
      <c r="E6" s="152"/>
      <c r="F6" s="153"/>
      <c r="G6" s="152"/>
      <c r="H6" s="153"/>
      <c r="I6" s="154"/>
      <c r="J6" s="158" t="s">
        <v>162</v>
      </c>
      <c r="K6" s="159" t="s">
        <v>161</v>
      </c>
      <c r="L6" s="158" t="s">
        <v>162</v>
      </c>
      <c r="M6" s="159" t="s">
        <v>161</v>
      </c>
      <c r="N6" s="155"/>
      <c r="O6" s="156"/>
      <c r="P6" s="157"/>
      <c r="Q6" s="157"/>
      <c r="R6" s="151"/>
    </row>
    <row r="7" spans="1:18">
      <c r="A7" s="146">
        <v>11.52</v>
      </c>
      <c r="B7" s="160" t="s">
        <v>164</v>
      </c>
      <c r="C7" s="161">
        <f>RGC!C9</f>
        <v>0</v>
      </c>
      <c r="D7" s="162">
        <f>C7</f>
        <v>0</v>
      </c>
      <c r="E7" s="163">
        <f>RGC!E9</f>
        <v>1766.9554999999998</v>
      </c>
      <c r="F7" s="162">
        <f>E7</f>
        <v>1766.9554999999998</v>
      </c>
      <c r="G7" s="164">
        <f t="shared" ref="G7:G18" si="0">3.5*E7</f>
        <v>6184.3442499999992</v>
      </c>
      <c r="H7" s="162">
        <f>G7</f>
        <v>6184.3442499999992</v>
      </c>
      <c r="I7" s="165">
        <f t="shared" ref="I7:I18" si="1">IF(D7&lt;H7,3.45%,5.25%)</f>
        <v>3.4500000000000003E-2</v>
      </c>
      <c r="J7" s="166">
        <f>IF(C7=0,0,K7)</f>
        <v>0</v>
      </c>
      <c r="K7" s="167">
        <f t="shared" ref="K7:K18" si="2">IF(C7=0,0,ROUND(IF(I7&gt;$P$5,D7*$P$5,I7*D7),2))</f>
        <v>0</v>
      </c>
      <c r="L7" s="166">
        <f>IF(C7=0,0,M7)</f>
        <v>0</v>
      </c>
      <c r="M7" s="166">
        <f t="shared" ref="M7:M18" si="3">IF(C7=0,0,IF(I7&gt;$P$5,D7*$Q$5,0))</f>
        <v>0</v>
      </c>
      <c r="N7" s="168">
        <f t="shared" ref="N7:N18" si="4">IF(C7&lt;G7,3.45%,5.25%)</f>
        <v>3.4500000000000003E-2</v>
      </c>
      <c r="O7" s="169">
        <f t="shared" ref="O7:O18" si="5">C7*N7</f>
        <v>0</v>
      </c>
      <c r="P7" s="169">
        <f t="shared" ref="P7:P18" si="6">C7*$P$5</f>
        <v>0</v>
      </c>
      <c r="Q7" s="169">
        <f t="shared" ref="Q7:Q18" si="7">IF(N7=3.45%,0,C7*1.8%)</f>
        <v>0</v>
      </c>
    </row>
    <row r="8" spans="1:18">
      <c r="A8" s="146">
        <v>11.52</v>
      </c>
      <c r="B8" s="160" t="s">
        <v>165</v>
      </c>
      <c r="C8" s="161">
        <f>RGC!C10</f>
        <v>0</v>
      </c>
      <c r="D8" s="162">
        <f t="shared" ref="D8:D18" si="8">C8+D7</f>
        <v>0</v>
      </c>
      <c r="E8" s="163">
        <f>RGC!E10</f>
        <v>1766.9554999999998</v>
      </c>
      <c r="F8" s="162">
        <f t="shared" ref="F8:F18" si="9">E8+F7</f>
        <v>3533.9109999999996</v>
      </c>
      <c r="G8" s="164">
        <f t="shared" si="0"/>
        <v>6184.3442499999992</v>
      </c>
      <c r="H8" s="162">
        <f t="shared" ref="H8:H18" si="10">G8+H7</f>
        <v>12368.688499999998</v>
      </c>
      <c r="I8" s="165">
        <f t="shared" si="1"/>
        <v>3.4500000000000003E-2</v>
      </c>
      <c r="J8" s="166">
        <f t="shared" ref="J8:J18" si="11">IF(C8=0,0,K8-K7)</f>
        <v>0</v>
      </c>
      <c r="K8" s="167">
        <f t="shared" si="2"/>
        <v>0</v>
      </c>
      <c r="L8" s="166">
        <f t="shared" ref="L8:L18" si="12">IF(C8=0,0,M8-M7)</f>
        <v>0</v>
      </c>
      <c r="M8" s="166">
        <f t="shared" si="3"/>
        <v>0</v>
      </c>
      <c r="N8" s="168">
        <f t="shared" si="4"/>
        <v>3.4500000000000003E-2</v>
      </c>
      <c r="O8" s="169">
        <f t="shared" si="5"/>
        <v>0</v>
      </c>
      <c r="P8" s="169">
        <f t="shared" si="6"/>
        <v>0</v>
      </c>
      <c r="Q8" s="169">
        <f t="shared" si="7"/>
        <v>0</v>
      </c>
    </row>
    <row r="9" spans="1:18">
      <c r="A9" s="146">
        <v>11.52</v>
      </c>
      <c r="B9" s="160" t="s">
        <v>166</v>
      </c>
      <c r="C9" s="161">
        <f>RGC!C11</f>
        <v>0</v>
      </c>
      <c r="D9" s="162">
        <f t="shared" si="8"/>
        <v>0</v>
      </c>
      <c r="E9" s="163">
        <f>RGC!E11</f>
        <v>1766.9554999999998</v>
      </c>
      <c r="F9" s="162">
        <f t="shared" si="9"/>
        <v>5300.8664999999992</v>
      </c>
      <c r="G9" s="164">
        <f t="shared" si="0"/>
        <v>6184.3442499999992</v>
      </c>
      <c r="H9" s="162">
        <f t="shared" si="10"/>
        <v>18553.032749999998</v>
      </c>
      <c r="I9" s="165">
        <f t="shared" si="1"/>
        <v>3.4500000000000003E-2</v>
      </c>
      <c r="J9" s="166">
        <f t="shared" si="11"/>
        <v>0</v>
      </c>
      <c r="K9" s="167">
        <f t="shared" si="2"/>
        <v>0</v>
      </c>
      <c r="L9" s="166">
        <f t="shared" si="12"/>
        <v>0</v>
      </c>
      <c r="M9" s="166">
        <f t="shared" si="3"/>
        <v>0</v>
      </c>
      <c r="N9" s="168">
        <f t="shared" si="4"/>
        <v>3.4500000000000003E-2</v>
      </c>
      <c r="O9" s="169">
        <f t="shared" si="5"/>
        <v>0</v>
      </c>
      <c r="P9" s="169">
        <f t="shared" si="6"/>
        <v>0</v>
      </c>
      <c r="Q9" s="169">
        <f t="shared" si="7"/>
        <v>0</v>
      </c>
    </row>
    <row r="10" spans="1:18">
      <c r="A10" s="146">
        <v>11.52</v>
      </c>
      <c r="B10" s="160" t="s">
        <v>167</v>
      </c>
      <c r="C10" s="161">
        <f>RGC!C12</f>
        <v>0</v>
      </c>
      <c r="D10" s="162">
        <f t="shared" si="8"/>
        <v>0</v>
      </c>
      <c r="E10" s="163">
        <f>RGC!E12</f>
        <v>1766.9554999999998</v>
      </c>
      <c r="F10" s="162">
        <f t="shared" si="9"/>
        <v>7067.8219999999992</v>
      </c>
      <c r="G10" s="164">
        <f t="shared" si="0"/>
        <v>6184.3442499999992</v>
      </c>
      <c r="H10" s="162">
        <f t="shared" si="10"/>
        <v>24737.376999999997</v>
      </c>
      <c r="I10" s="165">
        <f t="shared" si="1"/>
        <v>3.4500000000000003E-2</v>
      </c>
      <c r="J10" s="166">
        <f t="shared" si="11"/>
        <v>0</v>
      </c>
      <c r="K10" s="167">
        <f t="shared" si="2"/>
        <v>0</v>
      </c>
      <c r="L10" s="166">
        <f t="shared" si="12"/>
        <v>0</v>
      </c>
      <c r="M10" s="166">
        <f t="shared" si="3"/>
        <v>0</v>
      </c>
      <c r="N10" s="168">
        <f t="shared" si="4"/>
        <v>3.4500000000000003E-2</v>
      </c>
      <c r="O10" s="169">
        <f t="shared" si="5"/>
        <v>0</v>
      </c>
      <c r="P10" s="169">
        <f t="shared" si="6"/>
        <v>0</v>
      </c>
      <c r="Q10" s="169">
        <f t="shared" si="7"/>
        <v>0</v>
      </c>
    </row>
    <row r="11" spans="1:18">
      <c r="A11" s="146">
        <v>11.52</v>
      </c>
      <c r="B11" s="160" t="s">
        <v>168</v>
      </c>
      <c r="C11" s="161">
        <f>RGC!C13</f>
        <v>0</v>
      </c>
      <c r="D11" s="162">
        <f t="shared" si="8"/>
        <v>0</v>
      </c>
      <c r="E11" s="163">
        <f>RGC!E13</f>
        <v>1766.9554999999998</v>
      </c>
      <c r="F11" s="162">
        <f t="shared" si="9"/>
        <v>8834.7774999999983</v>
      </c>
      <c r="G11" s="164">
        <f t="shared" si="0"/>
        <v>6184.3442499999992</v>
      </c>
      <c r="H11" s="162">
        <f t="shared" si="10"/>
        <v>30921.721249999995</v>
      </c>
      <c r="I11" s="165">
        <f t="shared" si="1"/>
        <v>3.4500000000000003E-2</v>
      </c>
      <c r="J11" s="166">
        <f t="shared" si="11"/>
        <v>0</v>
      </c>
      <c r="K11" s="167">
        <f t="shared" si="2"/>
        <v>0</v>
      </c>
      <c r="L11" s="166">
        <f t="shared" si="12"/>
        <v>0</v>
      </c>
      <c r="M11" s="166">
        <f t="shared" si="3"/>
        <v>0</v>
      </c>
      <c r="N11" s="168">
        <f t="shared" si="4"/>
        <v>3.4500000000000003E-2</v>
      </c>
      <c r="O11" s="169">
        <f t="shared" si="5"/>
        <v>0</v>
      </c>
      <c r="P11" s="169">
        <f t="shared" si="6"/>
        <v>0</v>
      </c>
      <c r="Q11" s="169">
        <f t="shared" si="7"/>
        <v>0</v>
      </c>
    </row>
    <row r="12" spans="1:18">
      <c r="A12" s="146">
        <v>11.52</v>
      </c>
      <c r="B12" s="160" t="s">
        <v>169</v>
      </c>
      <c r="C12" s="161">
        <f>RGC!C14</f>
        <v>0</v>
      </c>
      <c r="D12" s="162">
        <f t="shared" si="8"/>
        <v>0</v>
      </c>
      <c r="E12" s="163">
        <f>RGC!E14</f>
        <v>1766.9554999999998</v>
      </c>
      <c r="F12" s="162">
        <f t="shared" si="9"/>
        <v>10601.732999999998</v>
      </c>
      <c r="G12" s="164">
        <f t="shared" si="0"/>
        <v>6184.3442499999992</v>
      </c>
      <c r="H12" s="162">
        <f t="shared" si="10"/>
        <v>37106.065499999997</v>
      </c>
      <c r="I12" s="165">
        <f t="shared" si="1"/>
        <v>3.4500000000000003E-2</v>
      </c>
      <c r="J12" s="166">
        <f t="shared" si="11"/>
        <v>0</v>
      </c>
      <c r="K12" s="167">
        <f t="shared" si="2"/>
        <v>0</v>
      </c>
      <c r="L12" s="166">
        <f t="shared" si="12"/>
        <v>0</v>
      </c>
      <c r="M12" s="166">
        <f t="shared" si="3"/>
        <v>0</v>
      </c>
      <c r="N12" s="168">
        <f t="shared" si="4"/>
        <v>3.4500000000000003E-2</v>
      </c>
      <c r="O12" s="169">
        <f t="shared" si="5"/>
        <v>0</v>
      </c>
      <c r="P12" s="169">
        <f t="shared" si="6"/>
        <v>0</v>
      </c>
      <c r="Q12" s="169">
        <f t="shared" si="7"/>
        <v>0</v>
      </c>
    </row>
    <row r="13" spans="1:18">
      <c r="A13" s="146">
        <v>11.52</v>
      </c>
      <c r="B13" s="160" t="s">
        <v>170</v>
      </c>
      <c r="C13" s="161">
        <f>RGC!C15</f>
        <v>0</v>
      </c>
      <c r="D13" s="162">
        <f t="shared" si="8"/>
        <v>0</v>
      </c>
      <c r="E13" s="163">
        <f>RGC!E15</f>
        <v>1766.9554999999998</v>
      </c>
      <c r="F13" s="162">
        <f t="shared" si="9"/>
        <v>12368.688499999998</v>
      </c>
      <c r="G13" s="164">
        <f t="shared" si="0"/>
        <v>6184.3442499999992</v>
      </c>
      <c r="H13" s="162">
        <f t="shared" si="10"/>
        <v>43290.409749999999</v>
      </c>
      <c r="I13" s="165">
        <f t="shared" si="1"/>
        <v>3.4500000000000003E-2</v>
      </c>
      <c r="J13" s="166">
        <f t="shared" si="11"/>
        <v>0</v>
      </c>
      <c r="K13" s="167">
        <f t="shared" si="2"/>
        <v>0</v>
      </c>
      <c r="L13" s="166">
        <f t="shared" si="12"/>
        <v>0</v>
      </c>
      <c r="M13" s="166">
        <f t="shared" si="3"/>
        <v>0</v>
      </c>
      <c r="N13" s="168">
        <f t="shared" si="4"/>
        <v>3.4500000000000003E-2</v>
      </c>
      <c r="O13" s="169">
        <f t="shared" si="5"/>
        <v>0</v>
      </c>
      <c r="P13" s="169">
        <f t="shared" si="6"/>
        <v>0</v>
      </c>
      <c r="Q13" s="169">
        <f t="shared" si="7"/>
        <v>0</v>
      </c>
    </row>
    <row r="14" spans="1:18">
      <c r="A14" s="146">
        <v>11.52</v>
      </c>
      <c r="B14" s="160" t="s">
        <v>171</v>
      </c>
      <c r="C14" s="161">
        <f>RGC!C16</f>
        <v>0</v>
      </c>
      <c r="D14" s="162">
        <f t="shared" si="8"/>
        <v>0</v>
      </c>
      <c r="E14" s="163">
        <f>RGC!E16</f>
        <v>1766.9554999999998</v>
      </c>
      <c r="F14" s="162">
        <f t="shared" si="9"/>
        <v>14135.643999999998</v>
      </c>
      <c r="G14" s="164">
        <f t="shared" si="0"/>
        <v>6184.3442499999992</v>
      </c>
      <c r="H14" s="162">
        <f t="shared" si="10"/>
        <v>49474.754000000001</v>
      </c>
      <c r="I14" s="165">
        <f t="shared" si="1"/>
        <v>3.4500000000000003E-2</v>
      </c>
      <c r="J14" s="166">
        <f t="shared" si="11"/>
        <v>0</v>
      </c>
      <c r="K14" s="167">
        <f t="shared" si="2"/>
        <v>0</v>
      </c>
      <c r="L14" s="166">
        <f t="shared" si="12"/>
        <v>0</v>
      </c>
      <c r="M14" s="166">
        <f t="shared" si="3"/>
        <v>0</v>
      </c>
      <c r="N14" s="168">
        <f t="shared" si="4"/>
        <v>3.4500000000000003E-2</v>
      </c>
      <c r="O14" s="169">
        <f t="shared" si="5"/>
        <v>0</v>
      </c>
      <c r="P14" s="169">
        <f t="shared" si="6"/>
        <v>0</v>
      </c>
      <c r="Q14" s="169">
        <f t="shared" si="7"/>
        <v>0</v>
      </c>
    </row>
    <row r="15" spans="1:18">
      <c r="A15" s="146">
        <v>11.52</v>
      </c>
      <c r="B15" s="160" t="s">
        <v>172</v>
      </c>
      <c r="C15" s="161">
        <f>RGC!C17</f>
        <v>0</v>
      </c>
      <c r="D15" s="162">
        <f t="shared" si="8"/>
        <v>0</v>
      </c>
      <c r="E15" s="163">
        <f>RGC!E17</f>
        <v>1766.9554999999998</v>
      </c>
      <c r="F15" s="162">
        <f t="shared" si="9"/>
        <v>15902.599499999998</v>
      </c>
      <c r="G15" s="164">
        <f t="shared" si="0"/>
        <v>6184.3442499999992</v>
      </c>
      <c r="H15" s="162">
        <f t="shared" si="10"/>
        <v>55659.098250000003</v>
      </c>
      <c r="I15" s="165">
        <f t="shared" si="1"/>
        <v>3.4500000000000003E-2</v>
      </c>
      <c r="J15" s="166">
        <f t="shared" si="11"/>
        <v>0</v>
      </c>
      <c r="K15" s="167">
        <f t="shared" si="2"/>
        <v>0</v>
      </c>
      <c r="L15" s="166">
        <f t="shared" si="12"/>
        <v>0</v>
      </c>
      <c r="M15" s="166">
        <f t="shared" si="3"/>
        <v>0</v>
      </c>
      <c r="N15" s="168">
        <f t="shared" si="4"/>
        <v>3.4500000000000003E-2</v>
      </c>
      <c r="O15" s="169">
        <f t="shared" si="5"/>
        <v>0</v>
      </c>
      <c r="P15" s="169">
        <f t="shared" si="6"/>
        <v>0</v>
      </c>
      <c r="Q15" s="169">
        <f t="shared" si="7"/>
        <v>0</v>
      </c>
    </row>
    <row r="16" spans="1:18">
      <c r="A16" s="146">
        <v>11.52</v>
      </c>
      <c r="B16" s="160" t="s">
        <v>173</v>
      </c>
      <c r="C16" s="161">
        <f>RGC!C18</f>
        <v>0</v>
      </c>
      <c r="D16" s="162">
        <f t="shared" si="8"/>
        <v>0</v>
      </c>
      <c r="E16" s="163">
        <f>RGC!E18</f>
        <v>1766.9554999999998</v>
      </c>
      <c r="F16" s="162">
        <f t="shared" si="9"/>
        <v>17669.554999999997</v>
      </c>
      <c r="G16" s="164">
        <f t="shared" si="0"/>
        <v>6184.3442499999992</v>
      </c>
      <c r="H16" s="162">
        <f t="shared" si="10"/>
        <v>61843.442500000005</v>
      </c>
      <c r="I16" s="165">
        <f t="shared" si="1"/>
        <v>3.4500000000000003E-2</v>
      </c>
      <c r="J16" s="166">
        <f t="shared" si="11"/>
        <v>0</v>
      </c>
      <c r="K16" s="167">
        <f t="shared" si="2"/>
        <v>0</v>
      </c>
      <c r="L16" s="166">
        <f t="shared" si="12"/>
        <v>0</v>
      </c>
      <c r="M16" s="166">
        <f t="shared" si="3"/>
        <v>0</v>
      </c>
      <c r="N16" s="168">
        <f t="shared" si="4"/>
        <v>3.4500000000000003E-2</v>
      </c>
      <c r="O16" s="169">
        <f t="shared" si="5"/>
        <v>0</v>
      </c>
      <c r="P16" s="169">
        <f t="shared" si="6"/>
        <v>0</v>
      </c>
      <c r="Q16" s="169">
        <f t="shared" si="7"/>
        <v>0</v>
      </c>
    </row>
    <row r="17" spans="1:17">
      <c r="A17" s="146">
        <v>11.52</v>
      </c>
      <c r="B17" s="160" t="s">
        <v>174</v>
      </c>
      <c r="C17" s="161">
        <f>RGC!C19</f>
        <v>0</v>
      </c>
      <c r="D17" s="162">
        <f t="shared" si="8"/>
        <v>0</v>
      </c>
      <c r="E17" s="163">
        <f>RGC!E19</f>
        <v>1766.9554999999998</v>
      </c>
      <c r="F17" s="162">
        <f t="shared" si="9"/>
        <v>19436.510499999997</v>
      </c>
      <c r="G17" s="164">
        <f t="shared" si="0"/>
        <v>6184.3442499999992</v>
      </c>
      <c r="H17" s="162">
        <f t="shared" si="10"/>
        <v>68027.786749999999</v>
      </c>
      <c r="I17" s="165">
        <f t="shared" si="1"/>
        <v>3.4500000000000003E-2</v>
      </c>
      <c r="J17" s="166">
        <f t="shared" si="11"/>
        <v>0</v>
      </c>
      <c r="K17" s="167">
        <f t="shared" si="2"/>
        <v>0</v>
      </c>
      <c r="L17" s="166">
        <f t="shared" si="12"/>
        <v>0</v>
      </c>
      <c r="M17" s="166">
        <f t="shared" si="3"/>
        <v>0</v>
      </c>
      <c r="N17" s="168">
        <f t="shared" si="4"/>
        <v>3.4500000000000003E-2</v>
      </c>
      <c r="O17" s="169">
        <f t="shared" si="5"/>
        <v>0</v>
      </c>
      <c r="P17" s="169">
        <f t="shared" si="6"/>
        <v>0</v>
      </c>
      <c r="Q17" s="169">
        <f t="shared" si="7"/>
        <v>0</v>
      </c>
    </row>
    <row r="18" spans="1:17">
      <c r="A18" s="146">
        <v>11.52</v>
      </c>
      <c r="B18" s="160" t="s">
        <v>175</v>
      </c>
      <c r="C18" s="161">
        <f>RGC!C20</f>
        <v>0</v>
      </c>
      <c r="D18" s="162">
        <f t="shared" si="8"/>
        <v>0</v>
      </c>
      <c r="E18" s="163">
        <f>RGC!E20</f>
        <v>1766.9554999999998</v>
      </c>
      <c r="F18" s="162">
        <f t="shared" si="9"/>
        <v>21203.465999999997</v>
      </c>
      <c r="G18" s="164">
        <f t="shared" si="0"/>
        <v>6184.3442499999992</v>
      </c>
      <c r="H18" s="162">
        <f t="shared" si="10"/>
        <v>74212.130999999994</v>
      </c>
      <c r="I18" s="165">
        <f t="shared" si="1"/>
        <v>3.4500000000000003E-2</v>
      </c>
      <c r="J18" s="166">
        <f t="shared" si="11"/>
        <v>0</v>
      </c>
      <c r="K18" s="167">
        <f t="shared" si="2"/>
        <v>0</v>
      </c>
      <c r="L18" s="166">
        <f t="shared" si="12"/>
        <v>0</v>
      </c>
      <c r="M18" s="166">
        <f t="shared" si="3"/>
        <v>0</v>
      </c>
      <c r="N18" s="168">
        <f t="shared" si="4"/>
        <v>3.4500000000000003E-2</v>
      </c>
      <c r="O18" s="169">
        <f t="shared" si="5"/>
        <v>0</v>
      </c>
      <c r="P18" s="169">
        <f t="shared" si="6"/>
        <v>0</v>
      </c>
      <c r="Q18" s="169">
        <f t="shared" si="7"/>
        <v>0</v>
      </c>
    </row>
    <row r="19" spans="1:17">
      <c r="O19" s="164">
        <f>SUM(O7:O18)</f>
        <v>0</v>
      </c>
      <c r="P19" s="164">
        <f>SUM(P7:P18)</f>
        <v>0</v>
      </c>
      <c r="Q19" s="164">
        <f>SUM(Q7:Q18)</f>
        <v>0</v>
      </c>
    </row>
    <row r="21" spans="1:17">
      <c r="O21" s="170" t="s">
        <v>58</v>
      </c>
      <c r="P21" s="171">
        <v>3.4500000000000003E-2</v>
      </c>
      <c r="Q21" s="171">
        <v>1.7999999999999999E-2</v>
      </c>
    </row>
    <row r="22" spans="1:17">
      <c r="E22" s="146"/>
      <c r="L22" s="172" t="s">
        <v>194</v>
      </c>
      <c r="M22" s="173"/>
      <c r="N22" s="174"/>
      <c r="O22" s="175">
        <f>D18</f>
        <v>0</v>
      </c>
      <c r="P22" s="164">
        <f>O22*P5</f>
        <v>0</v>
      </c>
      <c r="Q22" s="164">
        <f>IF(D18&gt;H18,O22*Q5,0)</f>
        <v>0</v>
      </c>
    </row>
    <row r="23" spans="1:17">
      <c r="E23" s="146"/>
      <c r="L23" s="172"/>
      <c r="M23" s="173"/>
      <c r="N23" s="174"/>
      <c r="O23" s="175"/>
      <c r="P23" s="160"/>
      <c r="Q23" s="160"/>
    </row>
    <row r="24" spans="1:17" ht="15" customHeight="1">
      <c r="E24" s="146"/>
      <c r="H24" s="176"/>
      <c r="I24" s="535" t="s">
        <v>195</v>
      </c>
      <c r="J24" s="535"/>
      <c r="K24" s="535"/>
      <c r="L24" s="536" t="s">
        <v>196</v>
      </c>
      <c r="M24" s="536"/>
      <c r="N24" s="536"/>
      <c r="O24" s="177">
        <f>P24/P5</f>
        <v>0</v>
      </c>
      <c r="P24" s="169">
        <f>P22-P19</f>
        <v>0</v>
      </c>
      <c r="Q24" s="169"/>
    </row>
    <row r="25" spans="1:17">
      <c r="H25" s="176"/>
      <c r="I25" s="535"/>
      <c r="J25" s="535"/>
      <c r="K25" s="535"/>
      <c r="L25" s="536" t="s">
        <v>197</v>
      </c>
      <c r="M25" s="536"/>
      <c r="N25" s="536"/>
      <c r="O25" s="177">
        <f>Q25/Q5</f>
        <v>0</v>
      </c>
      <c r="P25" s="178"/>
      <c r="Q25" s="169">
        <f>Q22-Q19</f>
        <v>0</v>
      </c>
    </row>
    <row r="26" spans="1:17" ht="29.25" customHeight="1">
      <c r="L26" s="531" t="s">
        <v>198</v>
      </c>
      <c r="M26" s="531"/>
      <c r="N26" s="531"/>
      <c r="O26" s="531"/>
      <c r="P26" s="531"/>
      <c r="Q26" s="531"/>
    </row>
  </sheetData>
  <mergeCells count="9">
    <mergeCell ref="L26:Q26"/>
    <mergeCell ref="C3:E3"/>
    <mergeCell ref="I4:M4"/>
    <mergeCell ref="N4:Q4"/>
    <mergeCell ref="J5:K5"/>
    <mergeCell ref="L5:M5"/>
    <mergeCell ref="I24:K25"/>
    <mergeCell ref="L24:N24"/>
    <mergeCell ref="L25:N25"/>
  </mergeCells>
  <pageMargins left="0" right="0" top="0.39370078740157505" bottom="0.39370078740157505" header="0" footer="0"/>
  <pageSetup paperSize="0" fitToWidth="0" fitToHeight="0" pageOrder="overThenDown" horizontalDpi="0" verticalDpi="0" copies="0"/>
  <headerFooter>
    <oddHeader>&amp;C&amp;A</oddHeader>
    <oddFooter>&amp;CPágina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63957-E57F-4C2A-84A5-65BF4FC67F73}">
  <dimension ref="A1:S25"/>
  <sheetViews>
    <sheetView workbookViewId="0">
      <selection activeCell="C2" sqref="C2:E2"/>
    </sheetView>
  </sheetViews>
  <sheetFormatPr baseColWidth="10" defaultColWidth="12.140625" defaultRowHeight="15"/>
  <cols>
    <col min="1" max="1" width="15.140625" style="148" customWidth="1"/>
    <col min="2" max="2" width="12.140625" style="148" customWidth="1"/>
    <col min="3" max="7" width="10.28515625" style="148" customWidth="1"/>
    <col min="8" max="8" width="11" style="148" customWidth="1"/>
    <col min="9" max="9" width="8.140625" style="148" customWidth="1"/>
    <col min="10" max="11" width="10.42578125" style="148" customWidth="1"/>
    <col min="12" max="12" width="9.5703125" style="148" customWidth="1"/>
    <col min="13" max="14" width="10.28515625" style="148" customWidth="1"/>
    <col min="15" max="15" width="8.42578125" style="148" customWidth="1"/>
    <col min="16" max="16" width="12.28515625" style="149" customWidth="1"/>
    <col min="17" max="18" width="10.28515625" style="148" customWidth="1"/>
    <col min="19" max="19" width="12.140625" style="148" customWidth="1"/>
    <col min="20" max="20" width="12.140625" style="179" customWidth="1"/>
    <col min="21" max="16384" width="12.140625" style="179"/>
  </cols>
  <sheetData>
    <row r="1" spans="1:19">
      <c r="B1" s="147" t="s">
        <v>199</v>
      </c>
    </row>
    <row r="2" spans="1:19" ht="18.75">
      <c r="C2" s="613" t="s">
        <v>307</v>
      </c>
      <c r="D2" s="613"/>
      <c r="E2" s="613"/>
    </row>
    <row r="3" spans="1:19" ht="21" customHeight="1">
      <c r="I3" s="532" t="s">
        <v>200</v>
      </c>
      <c r="J3" s="532"/>
      <c r="K3" s="532"/>
      <c r="L3" s="532"/>
      <c r="M3" s="532"/>
      <c r="N3" s="533" t="s">
        <v>201</v>
      </c>
      <c r="O3" s="533"/>
      <c r="P3" s="533"/>
      <c r="Q3" s="533"/>
    </row>
    <row r="4" spans="1:19" ht="30">
      <c r="A4" s="151"/>
      <c r="B4" s="152" t="s">
        <v>30</v>
      </c>
      <c r="C4" s="152" t="s">
        <v>186</v>
      </c>
      <c r="D4" s="153" t="s">
        <v>187</v>
      </c>
      <c r="E4" s="152" t="s">
        <v>188</v>
      </c>
      <c r="F4" s="153" t="s">
        <v>189</v>
      </c>
      <c r="G4" s="152" t="s">
        <v>202</v>
      </c>
      <c r="H4" s="153" t="s">
        <v>203</v>
      </c>
      <c r="I4" s="154" t="s">
        <v>59</v>
      </c>
      <c r="J4" s="537" t="s">
        <v>204</v>
      </c>
      <c r="K4" s="537"/>
      <c r="L4" s="537" t="s">
        <v>205</v>
      </c>
      <c r="M4" s="537"/>
      <c r="N4" s="155" t="s">
        <v>59</v>
      </c>
      <c r="O4" s="156" t="s">
        <v>192</v>
      </c>
      <c r="P4" s="157">
        <v>7.0000000000000007E-2</v>
      </c>
      <c r="Q4" s="157">
        <v>0.06</v>
      </c>
      <c r="R4" s="151"/>
      <c r="S4" s="151"/>
    </row>
    <row r="5" spans="1:19" ht="27" customHeight="1">
      <c r="A5" s="151" t="s">
        <v>193</v>
      </c>
      <c r="B5" s="152"/>
      <c r="C5" s="152"/>
      <c r="D5" s="153"/>
      <c r="E5" s="152"/>
      <c r="F5" s="153"/>
      <c r="G5" s="152"/>
      <c r="H5" s="153"/>
      <c r="I5" s="154"/>
      <c r="J5" s="158" t="s">
        <v>162</v>
      </c>
      <c r="K5" s="159" t="s">
        <v>161</v>
      </c>
      <c r="L5" s="158" t="s">
        <v>162</v>
      </c>
      <c r="M5" s="159" t="s">
        <v>161</v>
      </c>
      <c r="N5" s="155"/>
      <c r="O5" s="156"/>
      <c r="P5" s="157"/>
      <c r="Q5" s="157"/>
      <c r="R5" s="151"/>
      <c r="S5" s="151"/>
    </row>
    <row r="6" spans="1:19">
      <c r="A6" s="146">
        <v>11.52</v>
      </c>
      <c r="B6" s="160" t="s">
        <v>164</v>
      </c>
      <c r="C6" s="161">
        <f>RGC!C9</f>
        <v>0</v>
      </c>
      <c r="D6" s="162">
        <f>C6</f>
        <v>0</v>
      </c>
      <c r="E6" s="163">
        <f>RGC!E9</f>
        <v>1766.9554999999998</v>
      </c>
      <c r="F6" s="162">
        <f>E6</f>
        <v>1766.9554999999998</v>
      </c>
      <c r="G6" s="164">
        <f t="shared" ref="G6:G17" si="0">2.5*E6</f>
        <v>4417.3887499999992</v>
      </c>
      <c r="H6" s="162">
        <f>G6</f>
        <v>4417.3887499999992</v>
      </c>
      <c r="I6" s="165">
        <f t="shared" ref="I6:I17" si="1">IF(D6&lt;H6,7%,13%)</f>
        <v>7.0000000000000007E-2</v>
      </c>
      <c r="J6" s="166">
        <f>IF(C6=0,0,K6)</f>
        <v>0</v>
      </c>
      <c r="K6" s="167">
        <f t="shared" ref="K6:K17" si="2">IF(C6=0,0,ROUND(IF(I6&gt;$P$4,D6*$P$4,I6*D6),2))</f>
        <v>0</v>
      </c>
      <c r="L6" s="166">
        <f>IF(C6=0,0,M6)</f>
        <v>0</v>
      </c>
      <c r="M6" s="166">
        <f t="shared" ref="M6:M17" si="3">IF(C6=0,0,IF(I6&gt;$P$4,D6*$Q$4,0))</f>
        <v>0</v>
      </c>
      <c r="N6" s="168">
        <f t="shared" ref="N6:N17" si="4">IF(C6&lt;G6,7%,13%)</f>
        <v>7.0000000000000007E-2</v>
      </c>
      <c r="O6" s="169">
        <f t="shared" ref="O6:O17" si="5">C6*N6</f>
        <v>0</v>
      </c>
      <c r="P6" s="169">
        <f t="shared" ref="P6:P17" si="6">C6*$P$4</f>
        <v>0</v>
      </c>
      <c r="Q6" s="169">
        <f t="shared" ref="Q6:Q17" si="7">IF(N6=7%,0,C6*6%)</f>
        <v>0</v>
      </c>
    </row>
    <row r="7" spans="1:19">
      <c r="A7" s="146">
        <v>11.52</v>
      </c>
      <c r="B7" s="160" t="s">
        <v>165</v>
      </c>
      <c r="C7" s="161">
        <f>RGC!C10</f>
        <v>0</v>
      </c>
      <c r="D7" s="162">
        <f t="shared" ref="D7:D17" si="8">C7+D6</f>
        <v>0</v>
      </c>
      <c r="E7" s="163">
        <f>RGC!E10</f>
        <v>1766.9554999999998</v>
      </c>
      <c r="F7" s="162">
        <f t="shared" ref="F7:F17" si="9">E7+F6</f>
        <v>3533.9109999999996</v>
      </c>
      <c r="G7" s="164">
        <f t="shared" si="0"/>
        <v>4417.3887499999992</v>
      </c>
      <c r="H7" s="162">
        <f t="shared" ref="H7:H17" si="10">G7+H6</f>
        <v>8834.7774999999983</v>
      </c>
      <c r="I7" s="165">
        <f t="shared" si="1"/>
        <v>7.0000000000000007E-2</v>
      </c>
      <c r="J7" s="166">
        <f t="shared" ref="J7:J17" si="11">IF(C7=0,0,K7-K6)</f>
        <v>0</v>
      </c>
      <c r="K7" s="167">
        <f t="shared" si="2"/>
        <v>0</v>
      </c>
      <c r="L7" s="166">
        <f t="shared" ref="L7:L17" si="12">IF(C7=0,0,M7-M6)</f>
        <v>0</v>
      </c>
      <c r="M7" s="166">
        <f t="shared" si="3"/>
        <v>0</v>
      </c>
      <c r="N7" s="168">
        <f t="shared" si="4"/>
        <v>7.0000000000000007E-2</v>
      </c>
      <c r="O7" s="169">
        <f t="shared" si="5"/>
        <v>0</v>
      </c>
      <c r="P7" s="169">
        <f t="shared" si="6"/>
        <v>0</v>
      </c>
      <c r="Q7" s="169">
        <f t="shared" si="7"/>
        <v>0</v>
      </c>
    </row>
    <row r="8" spans="1:19">
      <c r="A8" s="146">
        <v>11.52</v>
      </c>
      <c r="B8" s="160" t="s">
        <v>166</v>
      </c>
      <c r="C8" s="161">
        <f>RGC!C11</f>
        <v>0</v>
      </c>
      <c r="D8" s="162">
        <f t="shared" si="8"/>
        <v>0</v>
      </c>
      <c r="E8" s="163">
        <f>RGC!E11</f>
        <v>1766.9554999999998</v>
      </c>
      <c r="F8" s="162">
        <f t="shared" si="9"/>
        <v>5300.8664999999992</v>
      </c>
      <c r="G8" s="164">
        <f t="shared" si="0"/>
        <v>4417.3887499999992</v>
      </c>
      <c r="H8" s="162">
        <f t="shared" si="10"/>
        <v>13252.166249999998</v>
      </c>
      <c r="I8" s="165">
        <f t="shared" si="1"/>
        <v>7.0000000000000007E-2</v>
      </c>
      <c r="J8" s="166">
        <f t="shared" si="11"/>
        <v>0</v>
      </c>
      <c r="K8" s="167">
        <f t="shared" si="2"/>
        <v>0</v>
      </c>
      <c r="L8" s="166">
        <f t="shared" si="12"/>
        <v>0</v>
      </c>
      <c r="M8" s="166">
        <f t="shared" si="3"/>
        <v>0</v>
      </c>
      <c r="N8" s="168">
        <f t="shared" si="4"/>
        <v>7.0000000000000007E-2</v>
      </c>
      <c r="O8" s="169">
        <f t="shared" si="5"/>
        <v>0</v>
      </c>
      <c r="P8" s="169">
        <f t="shared" si="6"/>
        <v>0</v>
      </c>
      <c r="Q8" s="169">
        <f t="shared" si="7"/>
        <v>0</v>
      </c>
    </row>
    <row r="9" spans="1:19">
      <c r="A9" s="146">
        <v>11.52</v>
      </c>
      <c r="B9" s="160" t="s">
        <v>167</v>
      </c>
      <c r="C9" s="161">
        <f>RGC!C12</f>
        <v>0</v>
      </c>
      <c r="D9" s="162">
        <f t="shared" si="8"/>
        <v>0</v>
      </c>
      <c r="E9" s="163">
        <f>RGC!E12</f>
        <v>1766.9554999999998</v>
      </c>
      <c r="F9" s="162">
        <f t="shared" si="9"/>
        <v>7067.8219999999992</v>
      </c>
      <c r="G9" s="164">
        <f t="shared" si="0"/>
        <v>4417.3887499999992</v>
      </c>
      <c r="H9" s="162">
        <f t="shared" si="10"/>
        <v>17669.554999999997</v>
      </c>
      <c r="I9" s="165">
        <f t="shared" si="1"/>
        <v>7.0000000000000007E-2</v>
      </c>
      <c r="J9" s="166">
        <f t="shared" si="11"/>
        <v>0</v>
      </c>
      <c r="K9" s="167">
        <f t="shared" si="2"/>
        <v>0</v>
      </c>
      <c r="L9" s="166">
        <f t="shared" si="12"/>
        <v>0</v>
      </c>
      <c r="M9" s="166">
        <f t="shared" si="3"/>
        <v>0</v>
      </c>
      <c r="N9" s="168">
        <f t="shared" si="4"/>
        <v>7.0000000000000007E-2</v>
      </c>
      <c r="O9" s="169">
        <f t="shared" si="5"/>
        <v>0</v>
      </c>
      <c r="P9" s="169">
        <f t="shared" si="6"/>
        <v>0</v>
      </c>
      <c r="Q9" s="169">
        <f t="shared" si="7"/>
        <v>0</v>
      </c>
    </row>
    <row r="10" spans="1:19">
      <c r="A10" s="146">
        <v>11.52</v>
      </c>
      <c r="B10" s="160" t="s">
        <v>168</v>
      </c>
      <c r="C10" s="161">
        <f>RGC!C13</f>
        <v>0</v>
      </c>
      <c r="D10" s="162">
        <f t="shared" si="8"/>
        <v>0</v>
      </c>
      <c r="E10" s="163">
        <f>RGC!E13</f>
        <v>1766.9554999999998</v>
      </c>
      <c r="F10" s="162">
        <f t="shared" si="9"/>
        <v>8834.7774999999983</v>
      </c>
      <c r="G10" s="164">
        <f t="shared" si="0"/>
        <v>4417.3887499999992</v>
      </c>
      <c r="H10" s="162">
        <f t="shared" si="10"/>
        <v>22086.943749999995</v>
      </c>
      <c r="I10" s="165">
        <f t="shared" si="1"/>
        <v>7.0000000000000007E-2</v>
      </c>
      <c r="J10" s="166">
        <f t="shared" si="11"/>
        <v>0</v>
      </c>
      <c r="K10" s="167">
        <f t="shared" si="2"/>
        <v>0</v>
      </c>
      <c r="L10" s="166">
        <f t="shared" si="12"/>
        <v>0</v>
      </c>
      <c r="M10" s="166">
        <f t="shared" si="3"/>
        <v>0</v>
      </c>
      <c r="N10" s="168">
        <f t="shared" si="4"/>
        <v>7.0000000000000007E-2</v>
      </c>
      <c r="O10" s="169">
        <f t="shared" si="5"/>
        <v>0</v>
      </c>
      <c r="P10" s="169">
        <f t="shared" si="6"/>
        <v>0</v>
      </c>
      <c r="Q10" s="169">
        <f t="shared" si="7"/>
        <v>0</v>
      </c>
    </row>
    <row r="11" spans="1:19">
      <c r="A11" s="146">
        <v>11.52</v>
      </c>
      <c r="B11" s="160" t="s">
        <v>169</v>
      </c>
      <c r="C11" s="161">
        <f>RGC!C14</f>
        <v>0</v>
      </c>
      <c r="D11" s="162">
        <f t="shared" si="8"/>
        <v>0</v>
      </c>
      <c r="E11" s="163">
        <f>RGC!E14</f>
        <v>1766.9554999999998</v>
      </c>
      <c r="F11" s="162">
        <f t="shared" si="9"/>
        <v>10601.732999999998</v>
      </c>
      <c r="G11" s="164">
        <f t="shared" si="0"/>
        <v>4417.3887499999992</v>
      </c>
      <c r="H11" s="162">
        <f t="shared" si="10"/>
        <v>26504.332499999993</v>
      </c>
      <c r="I11" s="165">
        <f t="shared" si="1"/>
        <v>7.0000000000000007E-2</v>
      </c>
      <c r="J11" s="166">
        <f t="shared" si="11"/>
        <v>0</v>
      </c>
      <c r="K11" s="167">
        <f t="shared" si="2"/>
        <v>0</v>
      </c>
      <c r="L11" s="166">
        <f t="shared" si="12"/>
        <v>0</v>
      </c>
      <c r="M11" s="166">
        <f t="shared" si="3"/>
        <v>0</v>
      </c>
      <c r="N11" s="168">
        <f t="shared" si="4"/>
        <v>7.0000000000000007E-2</v>
      </c>
      <c r="O11" s="169">
        <f t="shared" si="5"/>
        <v>0</v>
      </c>
      <c r="P11" s="169">
        <f t="shared" si="6"/>
        <v>0</v>
      </c>
      <c r="Q11" s="169">
        <f t="shared" si="7"/>
        <v>0</v>
      </c>
    </row>
    <row r="12" spans="1:19">
      <c r="A12" s="146">
        <v>11.52</v>
      </c>
      <c r="B12" s="160" t="s">
        <v>170</v>
      </c>
      <c r="C12" s="161">
        <f>RGC!C15</f>
        <v>0</v>
      </c>
      <c r="D12" s="162">
        <f t="shared" si="8"/>
        <v>0</v>
      </c>
      <c r="E12" s="163">
        <f>RGC!E15</f>
        <v>1766.9554999999998</v>
      </c>
      <c r="F12" s="162">
        <f t="shared" si="9"/>
        <v>12368.688499999998</v>
      </c>
      <c r="G12" s="164">
        <f t="shared" si="0"/>
        <v>4417.3887499999992</v>
      </c>
      <c r="H12" s="162">
        <f t="shared" si="10"/>
        <v>30921.721249999991</v>
      </c>
      <c r="I12" s="165">
        <f t="shared" si="1"/>
        <v>7.0000000000000007E-2</v>
      </c>
      <c r="J12" s="166">
        <f t="shared" si="11"/>
        <v>0</v>
      </c>
      <c r="K12" s="167">
        <f t="shared" si="2"/>
        <v>0</v>
      </c>
      <c r="L12" s="166">
        <f t="shared" si="12"/>
        <v>0</v>
      </c>
      <c r="M12" s="166">
        <f t="shared" si="3"/>
        <v>0</v>
      </c>
      <c r="N12" s="168">
        <f t="shared" si="4"/>
        <v>7.0000000000000007E-2</v>
      </c>
      <c r="O12" s="169">
        <f t="shared" si="5"/>
        <v>0</v>
      </c>
      <c r="P12" s="169">
        <f t="shared" si="6"/>
        <v>0</v>
      </c>
      <c r="Q12" s="169">
        <f t="shared" si="7"/>
        <v>0</v>
      </c>
    </row>
    <row r="13" spans="1:19">
      <c r="A13" s="146">
        <v>11.52</v>
      </c>
      <c r="B13" s="160" t="s">
        <v>171</v>
      </c>
      <c r="C13" s="161">
        <f>RGC!C16</f>
        <v>0</v>
      </c>
      <c r="D13" s="162">
        <f t="shared" si="8"/>
        <v>0</v>
      </c>
      <c r="E13" s="163">
        <f>RGC!E16</f>
        <v>1766.9554999999998</v>
      </c>
      <c r="F13" s="162">
        <f t="shared" si="9"/>
        <v>14135.643999999998</v>
      </c>
      <c r="G13" s="164">
        <f t="shared" si="0"/>
        <v>4417.3887499999992</v>
      </c>
      <c r="H13" s="162">
        <f t="shared" si="10"/>
        <v>35339.109999999993</v>
      </c>
      <c r="I13" s="165">
        <f t="shared" si="1"/>
        <v>7.0000000000000007E-2</v>
      </c>
      <c r="J13" s="166">
        <f t="shared" si="11"/>
        <v>0</v>
      </c>
      <c r="K13" s="167">
        <f t="shared" si="2"/>
        <v>0</v>
      </c>
      <c r="L13" s="166">
        <f t="shared" si="12"/>
        <v>0</v>
      </c>
      <c r="M13" s="166">
        <f t="shared" si="3"/>
        <v>0</v>
      </c>
      <c r="N13" s="168">
        <f t="shared" si="4"/>
        <v>7.0000000000000007E-2</v>
      </c>
      <c r="O13" s="169">
        <f t="shared" si="5"/>
        <v>0</v>
      </c>
      <c r="P13" s="169">
        <f t="shared" si="6"/>
        <v>0</v>
      </c>
      <c r="Q13" s="169">
        <f t="shared" si="7"/>
        <v>0</v>
      </c>
    </row>
    <row r="14" spans="1:19">
      <c r="A14" s="146">
        <v>11.52</v>
      </c>
      <c r="B14" s="160" t="s">
        <v>172</v>
      </c>
      <c r="C14" s="161">
        <f>RGC!C17</f>
        <v>0</v>
      </c>
      <c r="D14" s="162">
        <f t="shared" si="8"/>
        <v>0</v>
      </c>
      <c r="E14" s="163">
        <f>RGC!E17</f>
        <v>1766.9554999999998</v>
      </c>
      <c r="F14" s="162">
        <f t="shared" si="9"/>
        <v>15902.599499999998</v>
      </c>
      <c r="G14" s="164">
        <f t="shared" si="0"/>
        <v>4417.3887499999992</v>
      </c>
      <c r="H14" s="162">
        <f t="shared" si="10"/>
        <v>39756.498749999992</v>
      </c>
      <c r="I14" s="165">
        <f t="shared" si="1"/>
        <v>7.0000000000000007E-2</v>
      </c>
      <c r="J14" s="166">
        <f t="shared" si="11"/>
        <v>0</v>
      </c>
      <c r="K14" s="167">
        <f t="shared" si="2"/>
        <v>0</v>
      </c>
      <c r="L14" s="166">
        <f t="shared" si="12"/>
        <v>0</v>
      </c>
      <c r="M14" s="166">
        <f t="shared" si="3"/>
        <v>0</v>
      </c>
      <c r="N14" s="168">
        <f t="shared" si="4"/>
        <v>7.0000000000000007E-2</v>
      </c>
      <c r="O14" s="169">
        <f t="shared" si="5"/>
        <v>0</v>
      </c>
      <c r="P14" s="169">
        <f t="shared" si="6"/>
        <v>0</v>
      </c>
      <c r="Q14" s="169">
        <f t="shared" si="7"/>
        <v>0</v>
      </c>
    </row>
    <row r="15" spans="1:19">
      <c r="A15" s="146">
        <v>11.52</v>
      </c>
      <c r="B15" s="160" t="s">
        <v>173</v>
      </c>
      <c r="C15" s="161">
        <f>RGC!C18</f>
        <v>0</v>
      </c>
      <c r="D15" s="162">
        <f t="shared" si="8"/>
        <v>0</v>
      </c>
      <c r="E15" s="163">
        <f>RGC!E18</f>
        <v>1766.9554999999998</v>
      </c>
      <c r="F15" s="162">
        <f t="shared" si="9"/>
        <v>17669.554999999997</v>
      </c>
      <c r="G15" s="164">
        <f t="shared" si="0"/>
        <v>4417.3887499999992</v>
      </c>
      <c r="H15" s="162">
        <f t="shared" si="10"/>
        <v>44173.88749999999</v>
      </c>
      <c r="I15" s="165">
        <f t="shared" si="1"/>
        <v>7.0000000000000007E-2</v>
      </c>
      <c r="J15" s="166">
        <f t="shared" si="11"/>
        <v>0</v>
      </c>
      <c r="K15" s="167">
        <f t="shared" si="2"/>
        <v>0</v>
      </c>
      <c r="L15" s="166">
        <f t="shared" si="12"/>
        <v>0</v>
      </c>
      <c r="M15" s="166">
        <f t="shared" si="3"/>
        <v>0</v>
      </c>
      <c r="N15" s="168">
        <f t="shared" si="4"/>
        <v>7.0000000000000007E-2</v>
      </c>
      <c r="O15" s="169">
        <f t="shared" si="5"/>
        <v>0</v>
      </c>
      <c r="P15" s="169">
        <f t="shared" si="6"/>
        <v>0</v>
      </c>
      <c r="Q15" s="169">
        <f t="shared" si="7"/>
        <v>0</v>
      </c>
    </row>
    <row r="16" spans="1:19">
      <c r="A16" s="146">
        <v>11.52</v>
      </c>
      <c r="B16" s="160" t="s">
        <v>174</v>
      </c>
      <c r="C16" s="161">
        <f>RGC!C19</f>
        <v>0</v>
      </c>
      <c r="D16" s="162">
        <f t="shared" si="8"/>
        <v>0</v>
      </c>
      <c r="E16" s="163">
        <f>RGC!E19</f>
        <v>1766.9554999999998</v>
      </c>
      <c r="F16" s="162">
        <f t="shared" si="9"/>
        <v>19436.510499999997</v>
      </c>
      <c r="G16" s="164">
        <f t="shared" si="0"/>
        <v>4417.3887499999992</v>
      </c>
      <c r="H16" s="162">
        <f t="shared" si="10"/>
        <v>48591.276249999988</v>
      </c>
      <c r="I16" s="165">
        <f t="shared" si="1"/>
        <v>7.0000000000000007E-2</v>
      </c>
      <c r="J16" s="166">
        <f t="shared" si="11"/>
        <v>0</v>
      </c>
      <c r="K16" s="167">
        <f t="shared" si="2"/>
        <v>0</v>
      </c>
      <c r="L16" s="166">
        <f t="shared" si="12"/>
        <v>0</v>
      </c>
      <c r="M16" s="166">
        <f t="shared" si="3"/>
        <v>0</v>
      </c>
      <c r="N16" s="168">
        <f t="shared" si="4"/>
        <v>7.0000000000000007E-2</v>
      </c>
      <c r="O16" s="169">
        <f t="shared" si="5"/>
        <v>0</v>
      </c>
      <c r="P16" s="169">
        <f t="shared" si="6"/>
        <v>0</v>
      </c>
      <c r="Q16" s="169">
        <f t="shared" si="7"/>
        <v>0</v>
      </c>
    </row>
    <row r="17" spans="1:19">
      <c r="A17" s="146">
        <v>11.52</v>
      </c>
      <c r="B17" s="160" t="s">
        <v>175</v>
      </c>
      <c r="C17" s="161">
        <f>RGC!C20</f>
        <v>0</v>
      </c>
      <c r="D17" s="162">
        <f t="shared" si="8"/>
        <v>0</v>
      </c>
      <c r="E17" s="163">
        <f>RGC!E20</f>
        <v>1766.9554999999998</v>
      </c>
      <c r="F17" s="162">
        <f t="shared" si="9"/>
        <v>21203.465999999997</v>
      </c>
      <c r="G17" s="164">
        <f t="shared" si="0"/>
        <v>4417.3887499999992</v>
      </c>
      <c r="H17" s="162">
        <f t="shared" si="10"/>
        <v>53008.664999999986</v>
      </c>
      <c r="I17" s="165">
        <f t="shared" si="1"/>
        <v>7.0000000000000007E-2</v>
      </c>
      <c r="J17" s="166">
        <f t="shared" si="11"/>
        <v>0</v>
      </c>
      <c r="K17" s="167">
        <f t="shared" si="2"/>
        <v>0</v>
      </c>
      <c r="L17" s="166">
        <f t="shared" si="12"/>
        <v>0</v>
      </c>
      <c r="M17" s="166">
        <f t="shared" si="3"/>
        <v>0</v>
      </c>
      <c r="N17" s="168">
        <f t="shared" si="4"/>
        <v>7.0000000000000007E-2</v>
      </c>
      <c r="O17" s="169">
        <f t="shared" si="5"/>
        <v>0</v>
      </c>
      <c r="P17" s="169">
        <f t="shared" si="6"/>
        <v>0</v>
      </c>
      <c r="Q17" s="169">
        <f t="shared" si="7"/>
        <v>0</v>
      </c>
    </row>
    <row r="18" spans="1:19">
      <c r="P18" s="164">
        <f>SUM(O6:O17)</f>
        <v>0</v>
      </c>
      <c r="Q18" s="164">
        <f>SUM(P6:P17)</f>
        <v>0</v>
      </c>
      <c r="R18" s="164">
        <f>SUM(Q6:Q17)</f>
        <v>0</v>
      </c>
    </row>
    <row r="20" spans="1:19">
      <c r="O20" s="170" t="s">
        <v>58</v>
      </c>
      <c r="P20" s="171">
        <v>7.0000000000000007E-2</v>
      </c>
      <c r="Q20" s="171">
        <v>0.06</v>
      </c>
    </row>
    <row r="21" spans="1:19">
      <c r="E21" s="146"/>
      <c r="L21" s="538" t="s">
        <v>194</v>
      </c>
      <c r="M21" s="538"/>
      <c r="N21" s="538"/>
      <c r="O21" s="175">
        <f>D17</f>
        <v>0</v>
      </c>
      <c r="P21" s="164">
        <f>O21*P4</f>
        <v>0</v>
      </c>
      <c r="Q21" s="164">
        <f>IF(D17&gt;H17,O21*Q4,0)</f>
        <v>0</v>
      </c>
      <c r="R21" s="148">
        <f>O21*7%</f>
        <v>0</v>
      </c>
      <c r="S21" s="148">
        <f>O21*13%</f>
        <v>0</v>
      </c>
    </row>
    <row r="22" spans="1:19">
      <c r="E22" s="146"/>
      <c r="L22" s="180"/>
      <c r="M22" s="181"/>
      <c r="N22" s="182"/>
      <c r="O22" s="175"/>
      <c r="P22" s="160"/>
      <c r="Q22" s="160"/>
    </row>
    <row r="23" spans="1:19" ht="15" customHeight="1">
      <c r="E23" s="146"/>
      <c r="I23" s="535" t="s">
        <v>195</v>
      </c>
      <c r="J23" s="535"/>
      <c r="K23" s="535"/>
      <c r="L23" s="536" t="s">
        <v>206</v>
      </c>
      <c r="M23" s="536"/>
      <c r="N23" s="536"/>
      <c r="O23" s="177">
        <f>P23/P4</f>
        <v>0</v>
      </c>
      <c r="P23" s="169">
        <f>P21-Q18</f>
        <v>0</v>
      </c>
      <c r="Q23" s="169"/>
    </row>
    <row r="24" spans="1:19">
      <c r="I24" s="535"/>
      <c r="J24" s="535"/>
      <c r="K24" s="535"/>
      <c r="L24" s="536" t="s">
        <v>207</v>
      </c>
      <c r="M24" s="536"/>
      <c r="N24" s="536"/>
      <c r="O24" s="177">
        <f>Q24/Q4</f>
        <v>0</v>
      </c>
      <c r="P24" s="178"/>
      <c r="Q24" s="169">
        <f>Q21-R18</f>
        <v>0</v>
      </c>
    </row>
    <row r="25" spans="1:19" ht="29.25" customHeight="1">
      <c r="M25" s="531" t="s">
        <v>208</v>
      </c>
      <c r="N25" s="531"/>
      <c r="O25" s="531"/>
      <c r="P25" s="531"/>
      <c r="Q25" s="531"/>
      <c r="R25" s="531"/>
    </row>
  </sheetData>
  <mergeCells count="10">
    <mergeCell ref="I23:K24"/>
    <mergeCell ref="L23:N23"/>
    <mergeCell ref="L24:N24"/>
    <mergeCell ref="M25:R25"/>
    <mergeCell ref="C2:E2"/>
    <mergeCell ref="I3:M3"/>
    <mergeCell ref="N3:Q3"/>
    <mergeCell ref="J4:K4"/>
    <mergeCell ref="L4:M4"/>
    <mergeCell ref="L21:N21"/>
  </mergeCells>
  <pageMargins left="0" right="0" top="0.39370078740157505" bottom="0.39370078740157505" header="0" footer="0"/>
  <pageSetup paperSize="0" fitToWidth="0" fitToHeight="0" pageOrder="overThenDown" horizontalDpi="0" verticalDpi="0" copies="0"/>
  <headerFooter>
    <oddHeader>&amp;C&amp;A</oddHeader>
    <oddFooter>&amp;CPágina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AF191-C6E4-428C-846E-18D062A650AC}">
  <dimension ref="A2:P37"/>
  <sheetViews>
    <sheetView workbookViewId="0">
      <selection activeCell="C2" sqref="C2:E2"/>
    </sheetView>
  </sheetViews>
  <sheetFormatPr baseColWidth="10" defaultColWidth="12.140625" defaultRowHeight="15.75"/>
  <cols>
    <col min="1" max="14" width="12.140625" style="183" customWidth="1"/>
    <col min="15" max="15" width="15.5703125" style="183" customWidth="1"/>
    <col min="16" max="16" width="7.28515625" style="183" customWidth="1"/>
    <col min="17" max="17" width="12.140625" style="185" customWidth="1"/>
    <col min="18" max="16384" width="12.140625" style="185"/>
  </cols>
  <sheetData>
    <row r="2" spans="1:16" ht="18.75">
      <c r="C2" s="613" t="s">
        <v>307</v>
      </c>
      <c r="D2" s="613"/>
      <c r="E2" s="613"/>
    </row>
    <row r="3" spans="1:16">
      <c r="A3" s="539" t="s">
        <v>30</v>
      </c>
      <c r="B3" s="539" t="s">
        <v>209</v>
      </c>
      <c r="C3" s="539"/>
      <c r="D3" s="539" t="s">
        <v>210</v>
      </c>
      <c r="E3" s="539"/>
      <c r="F3" s="539" t="s">
        <v>211</v>
      </c>
      <c r="G3" s="539"/>
      <c r="H3" s="539" t="s">
        <v>212</v>
      </c>
      <c r="I3" s="539"/>
      <c r="J3" s="539" t="s">
        <v>213</v>
      </c>
      <c r="K3" s="539"/>
      <c r="L3" s="539" t="s">
        <v>214</v>
      </c>
      <c r="M3" s="539"/>
      <c r="O3" s="184" t="s">
        <v>215</v>
      </c>
      <c r="P3" s="184">
        <v>3864</v>
      </c>
    </row>
    <row r="4" spans="1:16">
      <c r="A4" s="539"/>
      <c r="B4" s="186" t="s">
        <v>216</v>
      </c>
      <c r="C4" s="186" t="s">
        <v>159</v>
      </c>
      <c r="D4" s="186" t="s">
        <v>216</v>
      </c>
      <c r="E4" s="186" t="s">
        <v>159</v>
      </c>
      <c r="F4" s="187" t="s">
        <v>216</v>
      </c>
      <c r="G4" s="186" t="s">
        <v>159</v>
      </c>
      <c r="H4" s="187" t="s">
        <v>216</v>
      </c>
      <c r="I4" s="186" t="s">
        <v>159</v>
      </c>
      <c r="J4" s="187" t="s">
        <v>216</v>
      </c>
      <c r="K4" s="186" t="s">
        <v>159</v>
      </c>
      <c r="L4" s="187" t="s">
        <v>216</v>
      </c>
      <c r="M4" s="186" t="s">
        <v>159</v>
      </c>
      <c r="O4" s="188" t="s">
        <v>217</v>
      </c>
      <c r="P4" s="188">
        <f>+P3*3</f>
        <v>11592</v>
      </c>
    </row>
    <row r="5" spans="1:16">
      <c r="A5" s="189" t="s">
        <v>164</v>
      </c>
      <c r="B5" s="190">
        <f>RGC!C9</f>
        <v>0</v>
      </c>
      <c r="C5" s="191">
        <f>B5</f>
        <v>0</v>
      </c>
      <c r="D5" s="190">
        <f t="shared" ref="D5:D16" si="0">$P$3</f>
        <v>3864</v>
      </c>
      <c r="E5" s="191">
        <f>D5</f>
        <v>3864</v>
      </c>
      <c r="F5" s="190">
        <f t="shared" ref="F5:F16" si="1">MIN(E5,C5)-MIN(E4,C4)</f>
        <v>0</v>
      </c>
      <c r="G5" s="191">
        <f>F5</f>
        <v>0</v>
      </c>
      <c r="H5" s="190">
        <f t="shared" ref="H5:H16" si="2">IF(B5&lt;$P$5,B5-F5,$P$4)</f>
        <v>0</v>
      </c>
      <c r="I5" s="191">
        <f>H5</f>
        <v>0</v>
      </c>
      <c r="J5" s="190">
        <f t="shared" ref="J5:J16" si="3">F5</f>
        <v>0</v>
      </c>
      <c r="K5" s="191">
        <f>J5</f>
        <v>0</v>
      </c>
      <c r="L5" s="190">
        <f t="shared" ref="L5:L16" si="4">IF(B5&lt;$P$7,B5-J5,$P$6)</f>
        <v>0</v>
      </c>
      <c r="M5" s="191">
        <f>L5</f>
        <v>0</v>
      </c>
      <c r="O5" s="188" t="s">
        <v>218</v>
      </c>
      <c r="P5" s="188">
        <f>+P3*4</f>
        <v>15456</v>
      </c>
    </row>
    <row r="6" spans="1:16">
      <c r="A6" s="189" t="s">
        <v>165</v>
      </c>
      <c r="B6" s="190">
        <f>RGC!C10</f>
        <v>0</v>
      </c>
      <c r="C6" s="191">
        <f t="shared" ref="C6:C16" si="5">B6+C5</f>
        <v>0</v>
      </c>
      <c r="D6" s="190">
        <f t="shared" si="0"/>
        <v>3864</v>
      </c>
      <c r="E6" s="191">
        <f t="shared" ref="E6:E16" si="6">E5+D6</f>
        <v>7728</v>
      </c>
      <c r="F6" s="190">
        <f t="shared" si="1"/>
        <v>0</v>
      </c>
      <c r="G6" s="191">
        <f t="shared" ref="G6:G16" si="7">F6+G5</f>
        <v>0</v>
      </c>
      <c r="H6" s="190">
        <f t="shared" si="2"/>
        <v>0</v>
      </c>
      <c r="I6" s="191">
        <f t="shared" ref="I6:I16" si="8">H6+I5</f>
        <v>0</v>
      </c>
      <c r="J6" s="190">
        <f t="shared" si="3"/>
        <v>0</v>
      </c>
      <c r="K6" s="191">
        <f t="shared" ref="K6:K16" si="9">J6+K5</f>
        <v>0</v>
      </c>
      <c r="L6" s="190">
        <f t="shared" si="4"/>
        <v>0</v>
      </c>
      <c r="M6" s="191">
        <f t="shared" ref="M6:M16" si="10">L6+M5</f>
        <v>0</v>
      </c>
      <c r="O6" s="188" t="s">
        <v>219</v>
      </c>
      <c r="P6" s="188">
        <f>7*P3</f>
        <v>27048</v>
      </c>
    </row>
    <row r="7" spans="1:16">
      <c r="A7" s="189" t="s">
        <v>166</v>
      </c>
      <c r="B7" s="190">
        <f>RGC!C11</f>
        <v>0</v>
      </c>
      <c r="C7" s="191">
        <f t="shared" si="5"/>
        <v>0</v>
      </c>
      <c r="D7" s="190">
        <f t="shared" si="0"/>
        <v>3864</v>
      </c>
      <c r="E7" s="191">
        <f t="shared" si="6"/>
        <v>11592</v>
      </c>
      <c r="F7" s="190">
        <f t="shared" si="1"/>
        <v>0</v>
      </c>
      <c r="G7" s="191">
        <f t="shared" si="7"/>
        <v>0</v>
      </c>
      <c r="H7" s="190">
        <f t="shared" si="2"/>
        <v>0</v>
      </c>
      <c r="I7" s="191">
        <f t="shared" si="8"/>
        <v>0</v>
      </c>
      <c r="J7" s="190">
        <f t="shared" si="3"/>
        <v>0</v>
      </c>
      <c r="K7" s="191">
        <f t="shared" si="9"/>
        <v>0</v>
      </c>
      <c r="L7" s="190">
        <f t="shared" si="4"/>
        <v>0</v>
      </c>
      <c r="M7" s="191">
        <f t="shared" si="10"/>
        <v>0</v>
      </c>
      <c r="O7" s="188" t="s">
        <v>220</v>
      </c>
      <c r="P7" s="188">
        <f>+P3*8</f>
        <v>30912</v>
      </c>
    </row>
    <row r="8" spans="1:16">
      <c r="A8" s="189" t="s">
        <v>167</v>
      </c>
      <c r="B8" s="190">
        <f>RGC!C12</f>
        <v>0</v>
      </c>
      <c r="C8" s="191">
        <f t="shared" si="5"/>
        <v>0</v>
      </c>
      <c r="D8" s="190">
        <f t="shared" si="0"/>
        <v>3864</v>
      </c>
      <c r="E8" s="191">
        <f t="shared" si="6"/>
        <v>15456</v>
      </c>
      <c r="F8" s="190">
        <f t="shared" si="1"/>
        <v>0</v>
      </c>
      <c r="G8" s="191">
        <f t="shared" si="7"/>
        <v>0</v>
      </c>
      <c r="H8" s="190">
        <f t="shared" si="2"/>
        <v>0</v>
      </c>
      <c r="I8" s="191">
        <f t="shared" si="8"/>
        <v>0</v>
      </c>
      <c r="J8" s="190">
        <f t="shared" si="3"/>
        <v>0</v>
      </c>
      <c r="K8" s="191">
        <f t="shared" si="9"/>
        <v>0</v>
      </c>
      <c r="L8" s="190">
        <f t="shared" si="4"/>
        <v>0</v>
      </c>
      <c r="M8" s="191">
        <f t="shared" si="10"/>
        <v>0</v>
      </c>
    </row>
    <row r="9" spans="1:16">
      <c r="A9" s="189" t="s">
        <v>168</v>
      </c>
      <c r="B9" s="190">
        <f>RGC!C13</f>
        <v>0</v>
      </c>
      <c r="C9" s="191">
        <f t="shared" si="5"/>
        <v>0</v>
      </c>
      <c r="D9" s="190">
        <f t="shared" si="0"/>
        <v>3864</v>
      </c>
      <c r="E9" s="191">
        <f t="shared" si="6"/>
        <v>19320</v>
      </c>
      <c r="F9" s="190">
        <f t="shared" si="1"/>
        <v>0</v>
      </c>
      <c r="G9" s="191">
        <f t="shared" si="7"/>
        <v>0</v>
      </c>
      <c r="H9" s="190">
        <f t="shared" si="2"/>
        <v>0</v>
      </c>
      <c r="I9" s="191">
        <f t="shared" si="8"/>
        <v>0</v>
      </c>
      <c r="J9" s="190">
        <f t="shared" si="3"/>
        <v>0</v>
      </c>
      <c r="K9" s="191">
        <f t="shared" si="9"/>
        <v>0</v>
      </c>
      <c r="L9" s="190">
        <f t="shared" si="4"/>
        <v>0</v>
      </c>
      <c r="M9" s="191">
        <f t="shared" si="10"/>
        <v>0</v>
      </c>
    </row>
    <row r="10" spans="1:16">
      <c r="A10" s="189" t="s">
        <v>169</v>
      </c>
      <c r="B10" s="190">
        <f>RGC!C14</f>
        <v>0</v>
      </c>
      <c r="C10" s="191">
        <f t="shared" si="5"/>
        <v>0</v>
      </c>
      <c r="D10" s="190">
        <f t="shared" si="0"/>
        <v>3864</v>
      </c>
      <c r="E10" s="191">
        <f t="shared" si="6"/>
        <v>23184</v>
      </c>
      <c r="F10" s="190">
        <f t="shared" si="1"/>
        <v>0</v>
      </c>
      <c r="G10" s="191">
        <f t="shared" si="7"/>
        <v>0</v>
      </c>
      <c r="H10" s="190">
        <f t="shared" si="2"/>
        <v>0</v>
      </c>
      <c r="I10" s="191">
        <f t="shared" si="8"/>
        <v>0</v>
      </c>
      <c r="J10" s="190">
        <f t="shared" si="3"/>
        <v>0</v>
      </c>
      <c r="K10" s="191">
        <f t="shared" si="9"/>
        <v>0</v>
      </c>
      <c r="L10" s="190">
        <f t="shared" si="4"/>
        <v>0</v>
      </c>
      <c r="M10" s="191">
        <f t="shared" si="10"/>
        <v>0</v>
      </c>
    </row>
    <row r="11" spans="1:16">
      <c r="A11" s="189" t="s">
        <v>170</v>
      </c>
      <c r="B11" s="190">
        <f>RGC!C15</f>
        <v>0</v>
      </c>
      <c r="C11" s="191">
        <f t="shared" si="5"/>
        <v>0</v>
      </c>
      <c r="D11" s="190">
        <f t="shared" si="0"/>
        <v>3864</v>
      </c>
      <c r="E11" s="191">
        <f t="shared" si="6"/>
        <v>27048</v>
      </c>
      <c r="F11" s="190">
        <f t="shared" si="1"/>
        <v>0</v>
      </c>
      <c r="G11" s="191">
        <f t="shared" si="7"/>
        <v>0</v>
      </c>
      <c r="H11" s="190">
        <f t="shared" si="2"/>
        <v>0</v>
      </c>
      <c r="I11" s="191">
        <f t="shared" si="8"/>
        <v>0</v>
      </c>
      <c r="J11" s="190">
        <f t="shared" si="3"/>
        <v>0</v>
      </c>
      <c r="K11" s="191">
        <f t="shared" si="9"/>
        <v>0</v>
      </c>
      <c r="L11" s="190">
        <f t="shared" si="4"/>
        <v>0</v>
      </c>
      <c r="M11" s="191">
        <f t="shared" si="10"/>
        <v>0</v>
      </c>
    </row>
    <row r="12" spans="1:16">
      <c r="A12" s="189" t="s">
        <v>171</v>
      </c>
      <c r="B12" s="190">
        <f>RGC!C16</f>
        <v>0</v>
      </c>
      <c r="C12" s="191">
        <f t="shared" si="5"/>
        <v>0</v>
      </c>
      <c r="D12" s="190">
        <f t="shared" si="0"/>
        <v>3864</v>
      </c>
      <c r="E12" s="191">
        <f t="shared" si="6"/>
        <v>30912</v>
      </c>
      <c r="F12" s="190">
        <f t="shared" si="1"/>
        <v>0</v>
      </c>
      <c r="G12" s="191">
        <f t="shared" si="7"/>
        <v>0</v>
      </c>
      <c r="H12" s="190">
        <f t="shared" si="2"/>
        <v>0</v>
      </c>
      <c r="I12" s="191">
        <f t="shared" si="8"/>
        <v>0</v>
      </c>
      <c r="J12" s="190">
        <f t="shared" si="3"/>
        <v>0</v>
      </c>
      <c r="K12" s="191">
        <f t="shared" si="9"/>
        <v>0</v>
      </c>
      <c r="L12" s="190">
        <f t="shared" si="4"/>
        <v>0</v>
      </c>
      <c r="M12" s="191">
        <f t="shared" si="10"/>
        <v>0</v>
      </c>
    </row>
    <row r="13" spans="1:16">
      <c r="A13" s="189" t="s">
        <v>172</v>
      </c>
      <c r="B13" s="190">
        <f>RGC!C17</f>
        <v>0</v>
      </c>
      <c r="C13" s="191">
        <f t="shared" si="5"/>
        <v>0</v>
      </c>
      <c r="D13" s="190">
        <f t="shared" si="0"/>
        <v>3864</v>
      </c>
      <c r="E13" s="191">
        <f t="shared" si="6"/>
        <v>34776</v>
      </c>
      <c r="F13" s="190">
        <f t="shared" si="1"/>
        <v>0</v>
      </c>
      <c r="G13" s="191">
        <f t="shared" si="7"/>
        <v>0</v>
      </c>
      <c r="H13" s="190">
        <f t="shared" si="2"/>
        <v>0</v>
      </c>
      <c r="I13" s="191">
        <f t="shared" si="8"/>
        <v>0</v>
      </c>
      <c r="J13" s="190">
        <f t="shared" si="3"/>
        <v>0</v>
      </c>
      <c r="K13" s="191">
        <f t="shared" si="9"/>
        <v>0</v>
      </c>
      <c r="L13" s="190">
        <f t="shared" si="4"/>
        <v>0</v>
      </c>
      <c r="M13" s="191">
        <f t="shared" si="10"/>
        <v>0</v>
      </c>
    </row>
    <row r="14" spans="1:16">
      <c r="A14" s="189" t="s">
        <v>173</v>
      </c>
      <c r="B14" s="190">
        <f>RGC!C18</f>
        <v>0</v>
      </c>
      <c r="C14" s="191">
        <f t="shared" si="5"/>
        <v>0</v>
      </c>
      <c r="D14" s="190">
        <f t="shared" si="0"/>
        <v>3864</v>
      </c>
      <c r="E14" s="191">
        <f t="shared" si="6"/>
        <v>38640</v>
      </c>
      <c r="F14" s="190">
        <f t="shared" si="1"/>
        <v>0</v>
      </c>
      <c r="G14" s="191">
        <f t="shared" si="7"/>
        <v>0</v>
      </c>
      <c r="H14" s="190">
        <f t="shared" si="2"/>
        <v>0</v>
      </c>
      <c r="I14" s="191">
        <f t="shared" si="8"/>
        <v>0</v>
      </c>
      <c r="J14" s="190">
        <f t="shared" si="3"/>
        <v>0</v>
      </c>
      <c r="K14" s="191">
        <f t="shared" si="9"/>
        <v>0</v>
      </c>
      <c r="L14" s="190">
        <f t="shared" si="4"/>
        <v>0</v>
      </c>
      <c r="M14" s="191">
        <f t="shared" si="10"/>
        <v>0</v>
      </c>
    </row>
    <row r="15" spans="1:16">
      <c r="A15" s="189" t="s">
        <v>174</v>
      </c>
      <c r="B15" s="190">
        <f>RGC!C19</f>
        <v>0</v>
      </c>
      <c r="C15" s="191">
        <f t="shared" si="5"/>
        <v>0</v>
      </c>
      <c r="D15" s="190">
        <f t="shared" si="0"/>
        <v>3864</v>
      </c>
      <c r="E15" s="191">
        <f t="shared" si="6"/>
        <v>42504</v>
      </c>
      <c r="F15" s="190">
        <f t="shared" si="1"/>
        <v>0</v>
      </c>
      <c r="G15" s="191">
        <f t="shared" si="7"/>
        <v>0</v>
      </c>
      <c r="H15" s="190">
        <f t="shared" si="2"/>
        <v>0</v>
      </c>
      <c r="I15" s="191">
        <f t="shared" si="8"/>
        <v>0</v>
      </c>
      <c r="J15" s="190">
        <f t="shared" si="3"/>
        <v>0</v>
      </c>
      <c r="K15" s="191">
        <f t="shared" si="9"/>
        <v>0</v>
      </c>
      <c r="L15" s="190">
        <f t="shared" si="4"/>
        <v>0</v>
      </c>
      <c r="M15" s="191">
        <f t="shared" si="10"/>
        <v>0</v>
      </c>
    </row>
    <row r="16" spans="1:16">
      <c r="A16" s="189" t="s">
        <v>175</v>
      </c>
      <c r="B16" s="190">
        <f>RGC!C20</f>
        <v>0</v>
      </c>
      <c r="C16" s="191">
        <f t="shared" si="5"/>
        <v>0</v>
      </c>
      <c r="D16" s="190">
        <f t="shared" si="0"/>
        <v>3864</v>
      </c>
      <c r="E16" s="191">
        <f t="shared" si="6"/>
        <v>46368</v>
      </c>
      <c r="F16" s="190">
        <f t="shared" si="1"/>
        <v>0</v>
      </c>
      <c r="G16" s="191">
        <f t="shared" si="7"/>
        <v>0</v>
      </c>
      <c r="H16" s="190">
        <f t="shared" si="2"/>
        <v>0</v>
      </c>
      <c r="I16" s="191">
        <f t="shared" si="8"/>
        <v>0</v>
      </c>
      <c r="J16" s="190">
        <f t="shared" si="3"/>
        <v>0</v>
      </c>
      <c r="K16" s="191">
        <f t="shared" si="9"/>
        <v>0</v>
      </c>
      <c r="L16" s="190">
        <f t="shared" si="4"/>
        <v>0</v>
      </c>
      <c r="M16" s="191">
        <f t="shared" si="10"/>
        <v>0</v>
      </c>
    </row>
    <row r="17" spans="1:13">
      <c r="B17" s="192"/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</row>
    <row r="18" spans="1:13">
      <c r="A18" s="193" t="s">
        <v>221</v>
      </c>
      <c r="B18" s="194">
        <f>SUM(B5:B16)</f>
        <v>0</v>
      </c>
      <c r="C18" s="192"/>
      <c r="D18" s="194">
        <f>SUM(D5:D16)</f>
        <v>46368</v>
      </c>
      <c r="E18" s="192"/>
      <c r="F18" s="194">
        <f>SUM(F5:F16)</f>
        <v>0</v>
      </c>
      <c r="G18" s="192"/>
      <c r="H18" s="194">
        <f>SUM(H5:H16)</f>
        <v>0</v>
      </c>
      <c r="I18" s="192"/>
      <c r="J18" s="194">
        <f>SUM(J5:J16)</f>
        <v>0</v>
      </c>
      <c r="K18" s="192"/>
      <c r="L18" s="194">
        <f>SUM(L5:L16)</f>
        <v>0</v>
      </c>
      <c r="M18" s="192"/>
    </row>
    <row r="20" spans="1:13">
      <c r="A20" s="539" t="s">
        <v>30</v>
      </c>
      <c r="B20" s="539" t="s">
        <v>222</v>
      </c>
      <c r="C20" s="539"/>
      <c r="D20" s="539" t="s">
        <v>223</v>
      </c>
      <c r="E20" s="539"/>
      <c r="F20" s="195" t="s">
        <v>224</v>
      </c>
      <c r="G20" s="196"/>
    </row>
    <row r="21" spans="1:13">
      <c r="A21" s="539"/>
      <c r="B21" s="186" t="s">
        <v>159</v>
      </c>
      <c r="C21" s="187" t="s">
        <v>216</v>
      </c>
      <c r="D21" s="186" t="s">
        <v>159</v>
      </c>
      <c r="E21" s="187" t="s">
        <v>216</v>
      </c>
      <c r="F21" s="197" t="s">
        <v>225</v>
      </c>
    </row>
    <row r="22" spans="1:13">
      <c r="A22" s="189" t="s">
        <v>164</v>
      </c>
      <c r="B22" s="191">
        <f t="shared" ref="B22:B33" si="11">IF(C5&lt;=E5,0,E5)</f>
        <v>0</v>
      </c>
      <c r="C22" s="190">
        <f>B22</f>
        <v>0</v>
      </c>
      <c r="D22" s="191">
        <f t="shared" ref="D22:D33" si="12">IF(C5&lt;=E5,0,C5-E5)</f>
        <v>0</v>
      </c>
      <c r="E22" s="190">
        <f>D22</f>
        <v>0</v>
      </c>
      <c r="F22" s="198">
        <f t="shared" ref="F22:F33" si="13">C22+E22</f>
        <v>0</v>
      </c>
    </row>
    <row r="23" spans="1:13">
      <c r="A23" s="189" t="s">
        <v>165</v>
      </c>
      <c r="B23" s="191">
        <f t="shared" si="11"/>
        <v>0</v>
      </c>
      <c r="C23" s="190">
        <f t="shared" ref="C23:C33" si="14">B23-B22</f>
        <v>0</v>
      </c>
      <c r="D23" s="191">
        <f t="shared" si="12"/>
        <v>0</v>
      </c>
      <c r="E23" s="190">
        <f t="shared" ref="E23:E33" si="15">D23-D22</f>
        <v>0</v>
      </c>
      <c r="F23" s="198">
        <f t="shared" si="13"/>
        <v>0</v>
      </c>
    </row>
    <row r="24" spans="1:13">
      <c r="A24" s="189" t="s">
        <v>166</v>
      </c>
      <c r="B24" s="191">
        <f t="shared" si="11"/>
        <v>0</v>
      </c>
      <c r="C24" s="190">
        <f t="shared" si="14"/>
        <v>0</v>
      </c>
      <c r="D24" s="191">
        <f t="shared" si="12"/>
        <v>0</v>
      </c>
      <c r="E24" s="190">
        <f t="shared" si="15"/>
        <v>0</v>
      </c>
      <c r="F24" s="198">
        <f t="shared" si="13"/>
        <v>0</v>
      </c>
    </row>
    <row r="25" spans="1:13">
      <c r="A25" s="189" t="s">
        <v>167</v>
      </c>
      <c r="B25" s="191">
        <f t="shared" si="11"/>
        <v>0</v>
      </c>
      <c r="C25" s="190">
        <f t="shared" si="14"/>
        <v>0</v>
      </c>
      <c r="D25" s="191">
        <f t="shared" si="12"/>
        <v>0</v>
      </c>
      <c r="E25" s="190">
        <f t="shared" si="15"/>
        <v>0</v>
      </c>
      <c r="F25" s="198">
        <f t="shared" si="13"/>
        <v>0</v>
      </c>
    </row>
    <row r="26" spans="1:13">
      <c r="A26" s="189" t="s">
        <v>168</v>
      </c>
      <c r="B26" s="191">
        <f t="shared" si="11"/>
        <v>0</v>
      </c>
      <c r="C26" s="190">
        <f t="shared" si="14"/>
        <v>0</v>
      </c>
      <c r="D26" s="191">
        <f t="shared" si="12"/>
        <v>0</v>
      </c>
      <c r="E26" s="190">
        <f t="shared" si="15"/>
        <v>0</v>
      </c>
      <c r="F26" s="198">
        <f t="shared" si="13"/>
        <v>0</v>
      </c>
    </row>
    <row r="27" spans="1:13">
      <c r="A27" s="189" t="s">
        <v>169</v>
      </c>
      <c r="B27" s="191">
        <f t="shared" si="11"/>
        <v>0</v>
      </c>
      <c r="C27" s="190">
        <f t="shared" si="14"/>
        <v>0</v>
      </c>
      <c r="D27" s="191">
        <f t="shared" si="12"/>
        <v>0</v>
      </c>
      <c r="E27" s="190">
        <f t="shared" si="15"/>
        <v>0</v>
      </c>
      <c r="F27" s="198">
        <f t="shared" si="13"/>
        <v>0</v>
      </c>
    </row>
    <row r="28" spans="1:13">
      <c r="A28" s="189" t="s">
        <v>170</v>
      </c>
      <c r="B28" s="191">
        <f t="shared" si="11"/>
        <v>0</v>
      </c>
      <c r="C28" s="190">
        <f t="shared" si="14"/>
        <v>0</v>
      </c>
      <c r="D28" s="191">
        <f t="shared" si="12"/>
        <v>0</v>
      </c>
      <c r="E28" s="190">
        <f t="shared" si="15"/>
        <v>0</v>
      </c>
      <c r="F28" s="198">
        <f t="shared" si="13"/>
        <v>0</v>
      </c>
    </row>
    <row r="29" spans="1:13">
      <c r="A29" s="189" t="s">
        <v>171</v>
      </c>
      <c r="B29" s="191">
        <f t="shared" si="11"/>
        <v>0</v>
      </c>
      <c r="C29" s="190">
        <f t="shared" si="14"/>
        <v>0</v>
      </c>
      <c r="D29" s="191">
        <f t="shared" si="12"/>
        <v>0</v>
      </c>
      <c r="E29" s="190">
        <f t="shared" si="15"/>
        <v>0</v>
      </c>
      <c r="F29" s="198">
        <f t="shared" si="13"/>
        <v>0</v>
      </c>
    </row>
    <row r="30" spans="1:13">
      <c r="A30" s="189" t="s">
        <v>172</v>
      </c>
      <c r="B30" s="191">
        <f t="shared" si="11"/>
        <v>0</v>
      </c>
      <c r="C30" s="190">
        <f t="shared" si="14"/>
        <v>0</v>
      </c>
      <c r="D30" s="191">
        <f t="shared" si="12"/>
        <v>0</v>
      </c>
      <c r="E30" s="190">
        <f t="shared" si="15"/>
        <v>0</v>
      </c>
      <c r="F30" s="198">
        <f t="shared" si="13"/>
        <v>0</v>
      </c>
    </row>
    <row r="31" spans="1:13">
      <c r="A31" s="189" t="s">
        <v>173</v>
      </c>
      <c r="B31" s="191">
        <f t="shared" si="11"/>
        <v>0</v>
      </c>
      <c r="C31" s="190">
        <f t="shared" si="14"/>
        <v>0</v>
      </c>
      <c r="D31" s="191">
        <f t="shared" si="12"/>
        <v>0</v>
      </c>
      <c r="E31" s="190">
        <f t="shared" si="15"/>
        <v>0</v>
      </c>
      <c r="F31" s="198">
        <f t="shared" si="13"/>
        <v>0</v>
      </c>
    </row>
    <row r="32" spans="1:13">
      <c r="A32" s="189" t="s">
        <v>174</v>
      </c>
      <c r="B32" s="191">
        <f t="shared" si="11"/>
        <v>0</v>
      </c>
      <c r="C32" s="190">
        <f t="shared" si="14"/>
        <v>0</v>
      </c>
      <c r="D32" s="191">
        <f t="shared" si="12"/>
        <v>0</v>
      </c>
      <c r="E32" s="190">
        <f t="shared" si="15"/>
        <v>0</v>
      </c>
      <c r="F32" s="198">
        <f t="shared" si="13"/>
        <v>0</v>
      </c>
    </row>
    <row r="33" spans="1:6">
      <c r="A33" s="189" t="s">
        <v>175</v>
      </c>
      <c r="B33" s="191">
        <f t="shared" si="11"/>
        <v>0</v>
      </c>
      <c r="C33" s="190">
        <f t="shared" si="14"/>
        <v>0</v>
      </c>
      <c r="D33" s="191">
        <f t="shared" si="12"/>
        <v>0</v>
      </c>
      <c r="E33" s="190">
        <f t="shared" si="15"/>
        <v>0</v>
      </c>
      <c r="F33" s="198">
        <f t="shared" si="13"/>
        <v>0</v>
      </c>
    </row>
    <row r="34" spans="1:6">
      <c r="B34" s="192"/>
      <c r="C34" s="192"/>
      <c r="D34" s="192"/>
      <c r="E34" s="192"/>
      <c r="F34" s="192"/>
    </row>
    <row r="35" spans="1:6">
      <c r="A35" s="193" t="s">
        <v>221</v>
      </c>
      <c r="B35" s="192"/>
      <c r="C35" s="194">
        <f>SUM(C22:C34)</f>
        <v>0</v>
      </c>
      <c r="D35" s="192"/>
      <c r="E35" s="194">
        <f>SUM(E22:E34)</f>
        <v>0</v>
      </c>
      <c r="F35" s="194">
        <f>SUM(F22:F34)</f>
        <v>0</v>
      </c>
    </row>
    <row r="36" spans="1:6">
      <c r="B36" s="192"/>
      <c r="C36" s="192"/>
      <c r="D36" s="192"/>
      <c r="E36" s="192"/>
      <c r="F36" s="192"/>
    </row>
    <row r="37" spans="1:6">
      <c r="B37" s="192"/>
      <c r="C37" s="192"/>
      <c r="D37" s="192"/>
      <c r="E37" s="192"/>
      <c r="F37" s="192"/>
    </row>
  </sheetData>
  <mergeCells count="11">
    <mergeCell ref="C2:E2"/>
    <mergeCell ref="L3:M3"/>
    <mergeCell ref="A20:A21"/>
    <mergeCell ref="B20:C20"/>
    <mergeCell ref="D20:E20"/>
    <mergeCell ref="A3:A4"/>
    <mergeCell ref="B3:C3"/>
    <mergeCell ref="D3:E3"/>
    <mergeCell ref="F3:G3"/>
    <mergeCell ref="H3:I3"/>
    <mergeCell ref="J3:K3"/>
  </mergeCells>
  <pageMargins left="0" right="0" top="0.39370078740157505" bottom="0.39370078740157505" header="0" footer="0"/>
  <pageSetup paperSize="0" fitToWidth="0" fitToHeight="0" pageOrder="overThenDown" horizontalDpi="0" verticalDpi="0" copies="0"/>
  <headerFooter>
    <oddHeader>&amp;C&amp;A</oddHeader>
    <oddFooter>&amp;CPágina &amp;P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DC642-B95B-49AA-8B61-EB2D6D9F1786}">
  <dimension ref="A1:I102"/>
  <sheetViews>
    <sheetView workbookViewId="0">
      <selection activeCell="A12" sqref="A12"/>
    </sheetView>
  </sheetViews>
  <sheetFormatPr baseColWidth="10" defaultRowHeight="12.75"/>
  <cols>
    <col min="1" max="1" width="63.7109375" style="199" customWidth="1"/>
    <col min="2" max="7" width="12.140625" style="199" customWidth="1"/>
    <col min="8" max="8" width="14.42578125" style="199" customWidth="1"/>
    <col min="9" max="9" width="12.140625" style="199" customWidth="1"/>
    <col min="10" max="16384" width="11.42578125" style="199"/>
  </cols>
  <sheetData>
    <row r="1" spans="1:9" ht="18.75">
      <c r="A1" s="540" t="s">
        <v>226</v>
      </c>
      <c r="B1" s="540"/>
      <c r="C1" s="540"/>
      <c r="D1" s="540"/>
      <c r="E1" s="540"/>
      <c r="F1" s="540"/>
    </row>
    <row r="2" spans="1:9" ht="15">
      <c r="A2" s="541" t="s">
        <v>227</v>
      </c>
      <c r="B2" s="541"/>
      <c r="C2" s="541"/>
      <c r="D2" s="541"/>
      <c r="E2" s="541"/>
      <c r="F2" s="541"/>
      <c r="H2" s="201" t="s">
        <v>228</v>
      </c>
      <c r="I2" s="202">
        <v>1766.96</v>
      </c>
    </row>
    <row r="3" spans="1:9" ht="15">
      <c r="A3" s="203" t="s">
        <v>229</v>
      </c>
      <c r="B3" s="204"/>
      <c r="C3" s="204"/>
      <c r="D3" s="542" t="s">
        <v>28</v>
      </c>
      <c r="E3" s="542"/>
      <c r="F3" s="542"/>
      <c r="H3" s="201" t="s">
        <v>6</v>
      </c>
      <c r="I3" s="202">
        <f>+I2*1.6</f>
        <v>2827.1360000000004</v>
      </c>
    </row>
    <row r="4" spans="1:9" ht="15">
      <c r="A4" s="205"/>
      <c r="B4" s="205"/>
      <c r="C4" s="206"/>
      <c r="D4" s="206"/>
      <c r="E4" s="206"/>
      <c r="F4" s="207"/>
      <c r="H4" s="201" t="s">
        <v>9</v>
      </c>
      <c r="I4" s="202">
        <f>I2*2.5</f>
        <v>4417.3999999999996</v>
      </c>
    </row>
    <row r="5" spans="1:9" ht="15">
      <c r="A5" s="208" t="s">
        <v>32</v>
      </c>
      <c r="B5" s="208" t="s">
        <v>32</v>
      </c>
      <c r="C5" s="209"/>
      <c r="D5" s="209"/>
      <c r="E5" s="210"/>
      <c r="F5" s="211"/>
      <c r="H5" s="201" t="s">
        <v>11</v>
      </c>
      <c r="I5" s="202">
        <f>I2*3.5</f>
        <v>6184.3600000000006</v>
      </c>
    </row>
    <row r="6" spans="1:9" ht="15">
      <c r="A6" s="208" t="s">
        <v>40</v>
      </c>
      <c r="B6" s="208" t="s">
        <v>36</v>
      </c>
      <c r="C6" s="209"/>
      <c r="D6" s="209"/>
      <c r="E6" s="210"/>
      <c r="F6" s="211"/>
      <c r="H6" s="201" t="s">
        <v>14</v>
      </c>
      <c r="I6" s="202">
        <v>3864</v>
      </c>
    </row>
    <row r="7" spans="1:9" ht="15">
      <c r="A7" s="208" t="s">
        <v>230</v>
      </c>
      <c r="B7" s="208" t="s">
        <v>40</v>
      </c>
      <c r="C7" s="209"/>
      <c r="D7" s="209"/>
      <c r="E7" s="209"/>
      <c r="F7" s="211"/>
      <c r="H7" s="201" t="s">
        <v>16</v>
      </c>
      <c r="I7" s="202">
        <f>+I6*4</f>
        <v>15456</v>
      </c>
    </row>
    <row r="8" spans="1:9" ht="15">
      <c r="A8" s="208" t="s">
        <v>231</v>
      </c>
      <c r="B8" s="208" t="s">
        <v>44</v>
      </c>
      <c r="C8" s="209"/>
      <c r="D8" s="209"/>
      <c r="E8" s="209"/>
      <c r="F8" s="211"/>
      <c r="H8" s="201" t="s">
        <v>23</v>
      </c>
      <c r="I8" s="202">
        <f>+I6*8</f>
        <v>30912</v>
      </c>
    </row>
    <row r="9" spans="1:9" ht="15">
      <c r="A9" s="208" t="s">
        <v>232</v>
      </c>
      <c r="B9" s="208" t="s">
        <v>50</v>
      </c>
      <c r="C9" s="209"/>
      <c r="D9" s="209"/>
      <c r="E9" s="209"/>
      <c r="F9" s="211"/>
    </row>
    <row r="10" spans="1:9" ht="15">
      <c r="A10" s="208"/>
      <c r="B10" s="208" t="s">
        <v>233</v>
      </c>
      <c r="C10" s="209"/>
      <c r="D10" s="209"/>
      <c r="E10" s="209" t="s">
        <v>234</v>
      </c>
      <c r="F10" s="211"/>
      <c r="H10" s="543" t="s">
        <v>235</v>
      </c>
      <c r="I10" s="543"/>
    </row>
    <row r="11" spans="1:9" ht="15">
      <c r="A11" s="208"/>
      <c r="B11" s="208" t="s">
        <v>52</v>
      </c>
      <c r="C11" s="209"/>
      <c r="D11" s="209"/>
      <c r="E11" s="209" t="s">
        <v>236</v>
      </c>
      <c r="F11" s="211"/>
      <c r="H11" s="212" t="s">
        <v>213</v>
      </c>
      <c r="I11" s="213">
        <f>IF(F24&gt;I6,I6,F24)</f>
        <v>0</v>
      </c>
    </row>
    <row r="12" spans="1:9" ht="15">
      <c r="A12" s="208" t="s">
        <v>308</v>
      </c>
      <c r="B12" s="208" t="s">
        <v>51</v>
      </c>
      <c r="C12" s="209"/>
      <c r="D12" s="209"/>
      <c r="E12" s="209" t="s">
        <v>237</v>
      </c>
      <c r="F12" s="211"/>
      <c r="H12" s="212" t="s">
        <v>214</v>
      </c>
      <c r="I12" s="213">
        <f>IF(F24&lt;I6,0,IF(AND(F24&gt;I6,F24&lt;I7),F24-I11,I7-I11))</f>
        <v>0</v>
      </c>
    </row>
    <row r="13" spans="1:9" ht="15">
      <c r="A13" s="208"/>
      <c r="B13" s="214" t="s">
        <v>53</v>
      </c>
      <c r="C13" s="215"/>
      <c r="D13" s="215"/>
      <c r="E13" s="215"/>
      <c r="F13" s="216"/>
      <c r="H13" s="212" t="s">
        <v>211</v>
      </c>
      <c r="I13" s="213">
        <f>IF(F24&gt;I6,I6,F24)</f>
        <v>0</v>
      </c>
    </row>
    <row r="14" spans="1:9" ht="15">
      <c r="A14" s="217" t="s">
        <v>238</v>
      </c>
      <c r="B14" s="544"/>
      <c r="C14" s="544"/>
      <c r="D14" s="204" t="s">
        <v>239</v>
      </c>
      <c r="E14" s="544"/>
      <c r="F14" s="544"/>
      <c r="H14" s="212" t="s">
        <v>212</v>
      </c>
      <c r="I14" s="213">
        <f>IF(F24&lt;I6,0,IF(AND(F24&gt;I6,F24&lt;I8),F24-I13,I8-I13))</f>
        <v>0</v>
      </c>
    </row>
    <row r="15" spans="1:9" ht="15">
      <c r="A15" s="218" t="s">
        <v>240</v>
      </c>
      <c r="B15" s="219"/>
      <c r="C15" s="219"/>
      <c r="D15" s="220" t="s">
        <v>241</v>
      </c>
      <c r="E15" s="220" t="s">
        <v>59</v>
      </c>
      <c r="F15" s="220" t="s">
        <v>73</v>
      </c>
      <c r="H15" s="221" t="s">
        <v>242</v>
      </c>
      <c r="I15" s="222">
        <f>I12+I11</f>
        <v>0</v>
      </c>
    </row>
    <row r="16" spans="1:9" ht="15">
      <c r="A16" s="223" t="s">
        <v>61</v>
      </c>
      <c r="B16" s="224"/>
      <c r="C16" s="225"/>
      <c r="D16" s="226"/>
      <c r="E16" s="227"/>
      <c r="F16" s="228">
        <v>0</v>
      </c>
      <c r="H16" s="221" t="s">
        <v>243</v>
      </c>
      <c r="I16" s="221">
        <f>I14+I13</f>
        <v>0</v>
      </c>
    </row>
    <row r="17" spans="1:9" ht="15">
      <c r="A17" s="223" t="s">
        <v>244</v>
      </c>
      <c r="B17" s="224"/>
      <c r="C17" s="225"/>
      <c r="D17" s="226"/>
      <c r="E17" s="227"/>
      <c r="F17" s="228">
        <f>-D17*E17</f>
        <v>0</v>
      </c>
      <c r="H17" s="212" t="s">
        <v>0</v>
      </c>
      <c r="I17" s="212"/>
    </row>
    <row r="18" spans="1:9" ht="15">
      <c r="A18" s="223"/>
      <c r="B18" s="224"/>
      <c r="C18" s="225"/>
      <c r="D18" s="226"/>
      <c r="E18" s="227"/>
      <c r="F18" s="228">
        <f t="shared" ref="F18:F23" si="0">D18*E18</f>
        <v>0</v>
      </c>
    </row>
    <row r="19" spans="1:9" ht="15">
      <c r="A19" s="223"/>
      <c r="B19" s="224"/>
      <c r="C19" s="225"/>
      <c r="D19" s="226"/>
      <c r="E19" s="227"/>
      <c r="F19" s="228">
        <f t="shared" si="0"/>
        <v>0</v>
      </c>
    </row>
    <row r="20" spans="1:9" ht="15">
      <c r="A20" s="223"/>
      <c r="B20" s="224"/>
      <c r="C20" s="225"/>
      <c r="D20" s="226"/>
      <c r="E20" s="227"/>
      <c r="F20" s="228">
        <f t="shared" si="0"/>
        <v>0</v>
      </c>
    </row>
    <row r="21" spans="1:9" ht="15">
      <c r="A21" s="223"/>
      <c r="B21" s="224"/>
      <c r="C21" s="225"/>
      <c r="D21" s="226"/>
      <c r="E21" s="227"/>
      <c r="F21" s="228">
        <f t="shared" si="0"/>
        <v>0</v>
      </c>
      <c r="H21" s="199" t="s">
        <v>245</v>
      </c>
    </row>
    <row r="22" spans="1:9" ht="15">
      <c r="A22" s="223"/>
      <c r="B22" s="224"/>
      <c r="C22" s="225"/>
      <c r="D22" s="226"/>
      <c r="E22" s="227"/>
      <c r="F22" s="228">
        <f t="shared" si="0"/>
        <v>0</v>
      </c>
      <c r="H22" s="199" t="s">
        <v>246</v>
      </c>
    </row>
    <row r="23" spans="1:9" ht="15">
      <c r="A23" s="223"/>
      <c r="B23" s="224"/>
      <c r="C23" s="225"/>
      <c r="D23" s="226"/>
      <c r="E23" s="227"/>
      <c r="F23" s="228">
        <f t="shared" si="0"/>
        <v>0</v>
      </c>
      <c r="H23" s="199" t="s">
        <v>247</v>
      </c>
    </row>
    <row r="24" spans="1:9" ht="15">
      <c r="A24" s="203" t="s">
        <v>248</v>
      </c>
      <c r="B24" s="546">
        <f>+I6</f>
        <v>3864</v>
      </c>
      <c r="C24" s="546"/>
      <c r="D24" s="547" t="s">
        <v>249</v>
      </c>
      <c r="E24" s="547"/>
      <c r="F24" s="229">
        <f>SUM(F16:F23)</f>
        <v>0</v>
      </c>
      <c r="H24" s="199" t="s">
        <v>250</v>
      </c>
    </row>
    <row r="25" spans="1:9" ht="15">
      <c r="A25" s="548" t="s">
        <v>70</v>
      </c>
      <c r="B25" s="549" t="s">
        <v>58</v>
      </c>
      <c r="C25" s="550" t="s">
        <v>71</v>
      </c>
      <c r="D25" s="550"/>
      <c r="E25" s="550" t="s">
        <v>72</v>
      </c>
      <c r="F25" s="550"/>
    </row>
    <row r="26" spans="1:9" ht="15">
      <c r="A26" s="548"/>
      <c r="B26" s="549"/>
      <c r="C26" s="220" t="s">
        <v>59</v>
      </c>
      <c r="D26" s="220" t="s">
        <v>73</v>
      </c>
      <c r="E26" s="220" t="s">
        <v>59</v>
      </c>
      <c r="F26" s="220" t="s">
        <v>73</v>
      </c>
    </row>
    <row r="27" spans="1:9" ht="15">
      <c r="A27" s="230" t="s">
        <v>74</v>
      </c>
      <c r="B27" s="231"/>
      <c r="C27" s="232"/>
      <c r="D27" s="233"/>
      <c r="E27" s="232"/>
      <c r="F27" s="234"/>
    </row>
    <row r="28" spans="1:9" ht="15">
      <c r="A28" s="235" t="s">
        <v>75</v>
      </c>
      <c r="B28" s="226">
        <f>F24</f>
        <v>0</v>
      </c>
      <c r="C28" s="236"/>
      <c r="D28" s="237"/>
      <c r="E28" s="238">
        <v>0.13</v>
      </c>
      <c r="F28" s="226">
        <f>B28*E28</f>
        <v>0</v>
      </c>
    </row>
    <row r="29" spans="1:9" ht="15">
      <c r="A29" s="235" t="s">
        <v>78</v>
      </c>
      <c r="B29" s="239"/>
      <c r="C29" s="240"/>
      <c r="D29" s="227">
        <f>+B29*C29</f>
        <v>0</v>
      </c>
      <c r="E29" s="241"/>
      <c r="F29" s="226">
        <f>+B29*E29</f>
        <v>0</v>
      </c>
    </row>
    <row r="30" spans="1:9" ht="15">
      <c r="A30" s="235" t="s">
        <v>251</v>
      </c>
      <c r="B30" s="226">
        <f>+I13</f>
        <v>0</v>
      </c>
      <c r="C30" s="236"/>
      <c r="D30" s="242"/>
      <c r="E30" s="243">
        <v>1.4999999999999999E-2</v>
      </c>
      <c r="F30" s="226">
        <f>B30*E30</f>
        <v>0</v>
      </c>
    </row>
    <row r="31" spans="1:9" ht="15">
      <c r="A31" s="235"/>
      <c r="B31" s="226"/>
      <c r="C31" s="238"/>
      <c r="D31" s="227"/>
      <c r="E31" s="243"/>
      <c r="F31" s="226"/>
    </row>
    <row r="32" spans="1:9" ht="15">
      <c r="A32" s="244" t="s">
        <v>80</v>
      </c>
      <c r="B32" s="226">
        <f>+F24</f>
        <v>0</v>
      </c>
      <c r="C32" s="236"/>
      <c r="D32" s="237"/>
      <c r="E32" s="245"/>
      <c r="F32" s="226">
        <f>B32*E32</f>
        <v>0</v>
      </c>
    </row>
    <row r="33" spans="1:6" ht="15">
      <c r="A33" s="235"/>
      <c r="B33" s="227"/>
      <c r="C33" s="238"/>
      <c r="D33" s="200"/>
      <c r="E33" s="238"/>
      <c r="F33" s="246"/>
    </row>
    <row r="34" spans="1:6" ht="15">
      <c r="A34" s="244" t="s">
        <v>81</v>
      </c>
      <c r="B34" s="227"/>
      <c r="C34" s="238"/>
      <c r="D34" s="200"/>
      <c r="E34" s="238"/>
      <c r="F34" s="246"/>
    </row>
    <row r="35" spans="1:6" ht="15">
      <c r="A35" s="235" t="s">
        <v>82</v>
      </c>
      <c r="B35" s="226">
        <f>+I11</f>
        <v>0</v>
      </c>
      <c r="C35" s="247">
        <v>6.9000000000000006E-2</v>
      </c>
      <c r="D35" s="227">
        <f>B35*C35</f>
        <v>0</v>
      </c>
      <c r="E35" s="247">
        <v>8.5500000000000007E-2</v>
      </c>
      <c r="F35" s="226">
        <f>B35*E35</f>
        <v>0</v>
      </c>
    </row>
    <row r="36" spans="1:6" ht="15">
      <c r="A36" s="235" t="s">
        <v>83</v>
      </c>
      <c r="B36" s="226">
        <f>F24</f>
        <v>0</v>
      </c>
      <c r="C36" s="247">
        <v>4.0000000000000001E-3</v>
      </c>
      <c r="D36" s="227">
        <f>B36*C36</f>
        <v>0</v>
      </c>
      <c r="E36" s="247">
        <v>2.0199999999999999E-2</v>
      </c>
      <c r="F36" s="226">
        <f>B36*E36</f>
        <v>0</v>
      </c>
    </row>
    <row r="37" spans="1:6" ht="15">
      <c r="A37" s="235" t="s">
        <v>252</v>
      </c>
      <c r="B37" s="226">
        <f>I13</f>
        <v>0</v>
      </c>
      <c r="C37" s="247">
        <v>4.0099999999999997E-2</v>
      </c>
      <c r="D37" s="227">
        <f>B37*C37</f>
        <v>0</v>
      </c>
      <c r="E37" s="247">
        <v>6.0100000000000001E-2</v>
      </c>
      <c r="F37" s="226">
        <f>B37*E37</f>
        <v>0</v>
      </c>
    </row>
    <row r="38" spans="1:6" ht="15">
      <c r="A38" s="235" t="s">
        <v>253</v>
      </c>
      <c r="B38" s="226">
        <f>I14</f>
        <v>0</v>
      </c>
      <c r="C38" s="247">
        <v>9.7199999999999995E-2</v>
      </c>
      <c r="D38" s="226">
        <f>B38*C38</f>
        <v>0</v>
      </c>
      <c r="E38" s="247">
        <v>0.1457</v>
      </c>
      <c r="F38" s="226">
        <f>B38*E38</f>
        <v>0</v>
      </c>
    </row>
    <row r="39" spans="1:6" ht="15">
      <c r="A39" s="235" t="s">
        <v>254</v>
      </c>
      <c r="B39" s="239">
        <f>IF(I14&gt;0,I13+I14,0)</f>
        <v>0</v>
      </c>
      <c r="C39" s="247">
        <v>1.4E-3</v>
      </c>
      <c r="D39" s="226">
        <f>B39*C39</f>
        <v>0</v>
      </c>
      <c r="E39" s="247">
        <v>2.0999999999999999E-3</v>
      </c>
      <c r="F39" s="226">
        <f>B39*E39</f>
        <v>0</v>
      </c>
    </row>
    <row r="40" spans="1:6" ht="15">
      <c r="A40" s="235"/>
      <c r="B40" s="227"/>
      <c r="C40" s="238"/>
      <c r="D40" s="200"/>
      <c r="E40" s="200"/>
      <c r="F40" s="246"/>
    </row>
    <row r="41" spans="1:6" ht="15">
      <c r="A41" s="244" t="s">
        <v>89</v>
      </c>
      <c r="B41" s="226"/>
      <c r="C41" s="238"/>
      <c r="D41" s="200"/>
      <c r="E41" s="247"/>
      <c r="F41" s="226">
        <f>B41*E41</f>
        <v>0</v>
      </c>
    </row>
    <row r="42" spans="1:6" ht="15">
      <c r="A42" s="223" t="s">
        <v>90</v>
      </c>
      <c r="B42" s="226">
        <f>F24</f>
        <v>0</v>
      </c>
      <c r="C42" s="236"/>
      <c r="D42" s="237"/>
      <c r="E42" s="248">
        <v>5.2499999999999998E-2</v>
      </c>
      <c r="F42" s="226">
        <f>B42*E42</f>
        <v>0</v>
      </c>
    </row>
    <row r="43" spans="1:6" ht="15">
      <c r="A43" s="249"/>
      <c r="B43" s="226"/>
      <c r="C43" s="238"/>
      <c r="D43" s="200"/>
      <c r="E43" s="248"/>
      <c r="F43" s="226"/>
    </row>
    <row r="44" spans="1:6" ht="15">
      <c r="A44" s="244" t="s">
        <v>93</v>
      </c>
      <c r="B44" s="226"/>
      <c r="C44" s="238"/>
      <c r="D44" s="200"/>
      <c r="E44" s="248"/>
      <c r="F44" s="226"/>
    </row>
    <row r="45" spans="1:6" ht="15">
      <c r="A45" s="249" t="s">
        <v>255</v>
      </c>
      <c r="B45" s="226">
        <f>I11+I12</f>
        <v>0</v>
      </c>
      <c r="C45" s="250">
        <v>2.4000000000000001E-4</v>
      </c>
      <c r="D45" s="227">
        <f>B45*C45</f>
        <v>0</v>
      </c>
      <c r="E45" s="251">
        <v>3.6000000000000002E-4</v>
      </c>
      <c r="F45" s="226">
        <f>B45*E45</f>
        <v>0</v>
      </c>
    </row>
    <row r="46" spans="1:6" ht="15">
      <c r="A46" s="249"/>
      <c r="B46" s="226"/>
      <c r="C46" s="238"/>
      <c r="D46" s="200"/>
      <c r="E46" s="248"/>
      <c r="F46" s="226"/>
    </row>
    <row r="47" spans="1:6" ht="15">
      <c r="A47" s="244" t="s">
        <v>97</v>
      </c>
      <c r="B47" s="226"/>
      <c r="C47" s="238"/>
      <c r="D47" s="200"/>
      <c r="E47" s="200"/>
      <c r="F47" s="226"/>
    </row>
    <row r="48" spans="1:6" ht="15">
      <c r="A48" s="235" t="s">
        <v>98</v>
      </c>
      <c r="B48" s="226">
        <f>IF(I17&gt;=11,F24,0)</f>
        <v>0</v>
      </c>
      <c r="C48" s="236"/>
      <c r="D48" s="237"/>
      <c r="E48" s="240"/>
      <c r="F48" s="226">
        <f t="shared" ref="F48:F57" si="1">B48*E48</f>
        <v>0</v>
      </c>
    </row>
    <row r="49" spans="1:6" ht="15">
      <c r="A49" s="235" t="s">
        <v>99</v>
      </c>
      <c r="B49" s="226">
        <f>F24</f>
        <v>0</v>
      </c>
      <c r="C49" s="236"/>
      <c r="D49" s="237"/>
      <c r="E49" s="247" t="str">
        <f>IF(I17&gt;=50,0.0045,"0")</f>
        <v>0</v>
      </c>
      <c r="F49" s="226">
        <f t="shared" si="1"/>
        <v>0</v>
      </c>
    </row>
    <row r="50" spans="1:6" ht="15">
      <c r="A50" s="235" t="s">
        <v>100</v>
      </c>
      <c r="B50" s="226">
        <f>F24</f>
        <v>0</v>
      </c>
      <c r="C50" s="236"/>
      <c r="D50" s="237"/>
      <c r="E50" s="247">
        <v>6.7999999999999996E-3</v>
      </c>
      <c r="F50" s="226">
        <f t="shared" si="1"/>
        <v>0</v>
      </c>
    </row>
    <row r="51" spans="1:6" ht="15">
      <c r="A51" s="235" t="s">
        <v>101</v>
      </c>
      <c r="B51" s="226">
        <f>F24</f>
        <v>0</v>
      </c>
      <c r="C51" s="236"/>
      <c r="D51" s="237"/>
      <c r="E51" s="247">
        <f>IF(I17&gt;=11,0.01,0.0055)</f>
        <v>5.4999999999999997E-3</v>
      </c>
      <c r="F51" s="226">
        <f t="shared" si="1"/>
        <v>0</v>
      </c>
    </row>
    <row r="52" spans="1:6" ht="15">
      <c r="A52" s="235" t="s">
        <v>102</v>
      </c>
      <c r="B52" s="239"/>
      <c r="C52" s="236"/>
      <c r="D52" s="242"/>
      <c r="E52" s="247">
        <v>0.01</v>
      </c>
      <c r="F52" s="226">
        <f t="shared" si="1"/>
        <v>0</v>
      </c>
    </row>
    <row r="53" spans="1:6" ht="15">
      <c r="A53" s="235" t="s">
        <v>104</v>
      </c>
      <c r="B53" s="226">
        <f>IF(I17&lt;50,I11,0)</f>
        <v>0</v>
      </c>
      <c r="C53" s="236"/>
      <c r="D53" s="237"/>
      <c r="E53" s="247">
        <v>1E-3</v>
      </c>
      <c r="F53" s="226">
        <f t="shared" si="1"/>
        <v>0</v>
      </c>
    </row>
    <row r="54" spans="1:6" ht="15">
      <c r="A54" s="235" t="s">
        <v>105</v>
      </c>
      <c r="B54" s="226">
        <f>IF(I17&gt;=50,F24,0)</f>
        <v>0</v>
      </c>
      <c r="C54" s="236"/>
      <c r="D54" s="237"/>
      <c r="E54" s="247">
        <v>5.0000000000000001E-3</v>
      </c>
      <c r="F54" s="226">
        <f t="shared" si="1"/>
        <v>0</v>
      </c>
    </row>
    <row r="55" spans="1:6" ht="15">
      <c r="A55" s="235" t="s">
        <v>106</v>
      </c>
      <c r="B55" s="226">
        <f>F24</f>
        <v>0</v>
      </c>
      <c r="C55" s="236"/>
      <c r="D55" s="237"/>
      <c r="E55" s="247">
        <v>3.0000000000000001E-3</v>
      </c>
      <c r="F55" s="226">
        <f t="shared" si="1"/>
        <v>0</v>
      </c>
    </row>
    <row r="56" spans="1:6" ht="15">
      <c r="A56" s="235" t="s">
        <v>107</v>
      </c>
      <c r="B56" s="227">
        <f>IF(I17&gt;=11,F29+F30+F68+F69,0)</f>
        <v>0</v>
      </c>
      <c r="C56" s="236"/>
      <c r="D56" s="237"/>
      <c r="E56" s="238">
        <v>0.08</v>
      </c>
      <c r="F56" s="226">
        <f t="shared" si="1"/>
        <v>0</v>
      </c>
    </row>
    <row r="57" spans="1:6" ht="15">
      <c r="A57" s="235" t="s">
        <v>108</v>
      </c>
      <c r="B57" s="252"/>
      <c r="C57" s="236"/>
      <c r="D57" s="237"/>
      <c r="E57" s="238">
        <v>0.3</v>
      </c>
      <c r="F57" s="226">
        <f t="shared" si="1"/>
        <v>0</v>
      </c>
    </row>
    <row r="58" spans="1:6" ht="15">
      <c r="A58" s="235"/>
      <c r="B58" s="227"/>
      <c r="C58" s="238"/>
      <c r="D58" s="200"/>
      <c r="E58" s="238"/>
      <c r="F58" s="226"/>
    </row>
    <row r="59" spans="1:6" ht="15">
      <c r="A59" s="244" t="s">
        <v>109</v>
      </c>
      <c r="B59" s="227"/>
      <c r="C59" s="238"/>
      <c r="D59" s="200"/>
      <c r="E59" s="238"/>
      <c r="F59" s="226"/>
    </row>
    <row r="60" spans="1:6" ht="15">
      <c r="A60" s="244"/>
      <c r="B60" s="227"/>
      <c r="C60" s="238"/>
      <c r="D60" s="200"/>
      <c r="E60" s="238"/>
      <c r="F60" s="226"/>
    </row>
    <row r="61" spans="1:6" ht="15">
      <c r="A61" s="244" t="s">
        <v>111</v>
      </c>
      <c r="B61" s="226">
        <f>IF(F24&lt;I7,F24*0.9825+F29+F30+F68+F69,+(I7*0.9825)+(F24-I7+F29+F30+F68+F69))</f>
        <v>0</v>
      </c>
      <c r="C61" s="247">
        <v>6.8000000000000005E-2</v>
      </c>
      <c r="D61" s="226">
        <f>B61*C61</f>
        <v>0</v>
      </c>
      <c r="E61" s="237"/>
      <c r="F61" s="253"/>
    </row>
    <row r="62" spans="1:6" ht="15">
      <c r="A62" s="244" t="s">
        <v>112</v>
      </c>
      <c r="B62" s="226">
        <f>B61</f>
        <v>0</v>
      </c>
      <c r="C62" s="247">
        <v>2.9000000000000001E-2</v>
      </c>
      <c r="D62" s="227">
        <f>B62*C62</f>
        <v>0</v>
      </c>
      <c r="E62" s="237"/>
      <c r="F62" s="253"/>
    </row>
    <row r="63" spans="1:6" ht="15">
      <c r="A63" s="244"/>
      <c r="B63" s="227"/>
      <c r="C63" s="238"/>
      <c r="D63" s="200"/>
      <c r="E63" s="238"/>
      <c r="F63" s="254"/>
    </row>
    <row r="64" spans="1:6" ht="15">
      <c r="A64" s="255" t="s">
        <v>115</v>
      </c>
      <c r="B64" s="256"/>
      <c r="C64" s="257"/>
      <c r="D64" s="222">
        <f>SUM(D28:D63)</f>
        <v>0</v>
      </c>
      <c r="E64" s="258"/>
      <c r="F64" s="259">
        <f>SUM(F28:F63)</f>
        <v>0</v>
      </c>
    </row>
    <row r="65" spans="1:6" ht="15">
      <c r="A65" s="235"/>
      <c r="B65" s="227"/>
      <c r="C65" s="238"/>
      <c r="D65" s="200"/>
      <c r="E65" s="238"/>
      <c r="F65" s="254"/>
    </row>
    <row r="66" spans="1:6" ht="15">
      <c r="A66" s="235"/>
      <c r="B66" s="227"/>
      <c r="C66" s="238"/>
      <c r="D66" s="200"/>
      <c r="E66" s="238"/>
      <c r="F66" s="254"/>
    </row>
    <row r="67" spans="1:6" ht="15">
      <c r="A67" s="203" t="s">
        <v>120</v>
      </c>
      <c r="B67" s="220" t="s">
        <v>58</v>
      </c>
      <c r="C67" s="220" t="s">
        <v>59</v>
      </c>
      <c r="D67" s="220" t="s">
        <v>73</v>
      </c>
      <c r="E67" s="220" t="s">
        <v>59</v>
      </c>
      <c r="F67" s="220" t="s">
        <v>73</v>
      </c>
    </row>
    <row r="68" spans="1:6" ht="15">
      <c r="A68" s="235" t="s">
        <v>121</v>
      </c>
      <c r="B68" s="260">
        <f>I13</f>
        <v>0</v>
      </c>
      <c r="C68" s="240">
        <v>0</v>
      </c>
      <c r="D68" s="227">
        <f>B68*C68</f>
        <v>0</v>
      </c>
      <c r="E68" s="240">
        <v>0</v>
      </c>
      <c r="F68" s="226">
        <f>B68*E68</f>
        <v>0</v>
      </c>
    </row>
    <row r="69" spans="1:6" ht="15">
      <c r="A69" s="235" t="s">
        <v>256</v>
      </c>
      <c r="B69" s="260">
        <f>I14</f>
        <v>0</v>
      </c>
      <c r="C69" s="240">
        <v>0</v>
      </c>
      <c r="D69" s="227">
        <f>B69*C69</f>
        <v>0</v>
      </c>
      <c r="E69" s="240">
        <v>0</v>
      </c>
      <c r="F69" s="226">
        <f>B69*E69</f>
        <v>0</v>
      </c>
    </row>
    <row r="70" spans="1:6" ht="15">
      <c r="A70" s="235" t="s">
        <v>123</v>
      </c>
      <c r="B70" s="260"/>
      <c r="C70" s="240">
        <v>0</v>
      </c>
      <c r="D70" s="227">
        <f>B70*C70</f>
        <v>0</v>
      </c>
      <c r="E70" s="240">
        <v>0</v>
      </c>
      <c r="F70" s="226">
        <f>B70*E70</f>
        <v>0</v>
      </c>
    </row>
    <row r="71" spans="1:6" ht="15">
      <c r="A71" s="235" t="s">
        <v>124</v>
      </c>
      <c r="B71" s="260"/>
      <c r="C71" s="240">
        <v>0</v>
      </c>
      <c r="D71" s="227">
        <f>B71*C71</f>
        <v>0</v>
      </c>
      <c r="E71" s="240">
        <v>0</v>
      </c>
      <c r="F71" s="226">
        <f>B71*E71</f>
        <v>0</v>
      </c>
    </row>
    <row r="72" spans="1:6">
      <c r="A72" s="235"/>
      <c r="B72" s="235"/>
      <c r="C72" s="235"/>
      <c r="D72" s="235"/>
      <c r="E72" s="235"/>
      <c r="F72" s="235"/>
    </row>
    <row r="73" spans="1:6" ht="15">
      <c r="A73" s="261" t="s">
        <v>125</v>
      </c>
      <c r="B73" s="262"/>
      <c r="C73" s="262"/>
      <c r="D73" s="263">
        <f>F24-D64+D78-D68-D69-D70-D71</f>
        <v>0</v>
      </c>
      <c r="E73" s="262"/>
      <c r="F73" s="264"/>
    </row>
    <row r="74" spans="1:6">
      <c r="A74" s="223"/>
      <c r="B74" s="235"/>
      <c r="C74" s="235"/>
      <c r="D74" s="235"/>
      <c r="E74" s="235"/>
      <c r="F74" s="235"/>
    </row>
    <row r="75" spans="1:6" ht="15">
      <c r="A75" s="547" t="s">
        <v>257</v>
      </c>
      <c r="B75" s="547"/>
      <c r="C75" s="547"/>
      <c r="D75" s="547"/>
      <c r="E75" s="547"/>
      <c r="F75" s="547"/>
    </row>
    <row r="76" spans="1:6" ht="15">
      <c r="A76" s="265" t="s">
        <v>127</v>
      </c>
      <c r="B76" s="231"/>
      <c r="C76" s="231"/>
      <c r="D76" s="266">
        <f>B76*C76</f>
        <v>0</v>
      </c>
      <c r="E76" s="267"/>
      <c r="F76" s="268"/>
    </row>
    <row r="77" spans="1:6" ht="15">
      <c r="A77" s="223" t="s">
        <v>128</v>
      </c>
      <c r="B77" s="269"/>
      <c r="C77" s="269"/>
      <c r="D77" s="227">
        <f>B77*C77</f>
        <v>0</v>
      </c>
      <c r="E77" s="270"/>
      <c r="F77" s="271"/>
    </row>
    <row r="78" spans="1:6" ht="15">
      <c r="A78" s="223" t="s">
        <v>129</v>
      </c>
      <c r="B78" s="269"/>
      <c r="C78" s="269"/>
      <c r="D78" s="227">
        <f>B78*C78</f>
        <v>0</v>
      </c>
      <c r="E78" s="270"/>
      <c r="F78" s="271"/>
    </row>
    <row r="79" spans="1:6" ht="15">
      <c r="A79" s="223" t="s">
        <v>130</v>
      </c>
      <c r="B79" s="269"/>
      <c r="C79" s="269"/>
      <c r="D79" s="227">
        <f t="shared" ref="D79:D84" si="2">-B79*C79</f>
        <v>0</v>
      </c>
      <c r="E79" s="270"/>
      <c r="F79" s="271"/>
    </row>
    <row r="80" spans="1:6" ht="15">
      <c r="A80" s="223" t="s">
        <v>258</v>
      </c>
      <c r="B80" s="269"/>
      <c r="C80" s="269"/>
      <c r="D80" s="227">
        <f t="shared" si="2"/>
        <v>0</v>
      </c>
      <c r="E80" s="270"/>
      <c r="F80" s="271"/>
    </row>
    <row r="81" spans="1:6" ht="15">
      <c r="A81" s="223" t="s">
        <v>132</v>
      </c>
      <c r="B81" s="269"/>
      <c r="C81" s="269"/>
      <c r="D81" s="227">
        <f t="shared" si="2"/>
        <v>0</v>
      </c>
      <c r="E81" s="270"/>
      <c r="F81" s="271"/>
    </row>
    <row r="82" spans="1:6" ht="15">
      <c r="A82" s="223" t="s">
        <v>133</v>
      </c>
      <c r="B82" s="269"/>
      <c r="C82" s="269"/>
      <c r="D82" s="227">
        <f t="shared" si="2"/>
        <v>0</v>
      </c>
      <c r="E82" s="270"/>
      <c r="F82" s="271"/>
    </row>
    <row r="83" spans="1:6" ht="15">
      <c r="A83" s="223" t="s">
        <v>134</v>
      </c>
      <c r="B83" s="269"/>
      <c r="C83" s="269"/>
      <c r="D83" s="227">
        <f t="shared" si="2"/>
        <v>0</v>
      </c>
      <c r="E83" s="270"/>
      <c r="F83" s="271"/>
    </row>
    <row r="84" spans="1:6" ht="15">
      <c r="A84" s="223" t="s">
        <v>135</v>
      </c>
      <c r="B84" s="272"/>
      <c r="C84" s="272"/>
      <c r="D84" s="227">
        <f t="shared" si="2"/>
        <v>0</v>
      </c>
      <c r="E84" s="270"/>
      <c r="F84" s="271"/>
    </row>
    <row r="85" spans="1:6" ht="15">
      <c r="A85" s="223"/>
      <c r="B85" s="273"/>
      <c r="C85" s="273"/>
      <c r="D85" s="274"/>
      <c r="E85" s="275"/>
      <c r="F85" s="276"/>
    </row>
    <row r="86" spans="1:6" ht="15">
      <c r="A86" s="203" t="s">
        <v>137</v>
      </c>
      <c r="B86" s="277"/>
      <c r="C86" s="277"/>
      <c r="D86" s="263">
        <f>F24-D64-D68-D69-D70-D71+SUM(D76:D84)</f>
        <v>0</v>
      </c>
      <c r="E86" s="277"/>
      <c r="F86" s="278"/>
    </row>
    <row r="87" spans="1:6">
      <c r="A87" s="223"/>
      <c r="F87" s="279"/>
    </row>
    <row r="88" spans="1:6" ht="15">
      <c r="A88" s="203" t="s">
        <v>138</v>
      </c>
      <c r="B88" s="280" t="s">
        <v>58</v>
      </c>
      <c r="C88" s="280" t="s">
        <v>59</v>
      </c>
      <c r="D88" s="280" t="s">
        <v>73</v>
      </c>
      <c r="E88" s="551" t="s">
        <v>139</v>
      </c>
      <c r="F88" s="551"/>
    </row>
    <row r="89" spans="1:6">
      <c r="A89" s="275" t="s">
        <v>140</v>
      </c>
      <c r="B89" s="281"/>
      <c r="C89" s="282"/>
      <c r="D89" s="263">
        <f>F24-D64-D68-D69-D70-D71+D62+F29</f>
        <v>0</v>
      </c>
      <c r="E89" s="552"/>
      <c r="F89" s="552"/>
    </row>
    <row r="90" spans="1:6" ht="15">
      <c r="A90" s="203" t="s">
        <v>142</v>
      </c>
      <c r="B90" s="280" t="s">
        <v>58</v>
      </c>
      <c r="C90" s="280" t="s">
        <v>59</v>
      </c>
      <c r="D90" s="280" t="s">
        <v>73</v>
      </c>
      <c r="E90" s="551" t="s">
        <v>139</v>
      </c>
      <c r="F90" s="551"/>
    </row>
    <row r="91" spans="1:6" ht="15">
      <c r="A91" s="221" t="s">
        <v>143</v>
      </c>
      <c r="B91" s="263">
        <f>+D89</f>
        <v>0</v>
      </c>
      <c r="C91" s="283"/>
      <c r="D91" s="263">
        <f>B91*C91</f>
        <v>0</v>
      </c>
      <c r="E91" s="553"/>
      <c r="F91" s="553"/>
    </row>
    <row r="92" spans="1:6">
      <c r="A92" s="223"/>
      <c r="F92" s="279"/>
    </row>
    <row r="93" spans="1:6" ht="15">
      <c r="A93" s="203" t="s">
        <v>144</v>
      </c>
      <c r="B93" s="204"/>
      <c r="C93" s="204"/>
      <c r="D93" s="284">
        <f>+D86-D91</f>
        <v>0</v>
      </c>
      <c r="E93" s="208"/>
      <c r="F93" s="211"/>
    </row>
    <row r="94" spans="1:6">
      <c r="A94" s="223"/>
      <c r="F94" s="279"/>
    </row>
    <row r="95" spans="1:6" ht="15">
      <c r="A95" s="203" t="s">
        <v>145</v>
      </c>
      <c r="B95" s="285"/>
      <c r="C95" s="285"/>
      <c r="D95" s="285"/>
      <c r="E95" s="285"/>
      <c r="F95" s="263">
        <f>+F24+F64+F68+F69+F70+F71</f>
        <v>0</v>
      </c>
    </row>
    <row r="96" spans="1:6">
      <c r="A96" s="223"/>
      <c r="F96" s="279"/>
    </row>
    <row r="97" spans="1:6">
      <c r="A97" s="232" t="s">
        <v>259</v>
      </c>
      <c r="F97" s="279"/>
    </row>
    <row r="98" spans="1:6">
      <c r="A98" s="235" t="s">
        <v>260</v>
      </c>
      <c r="F98" s="279"/>
    </row>
    <row r="99" spans="1:6">
      <c r="A99" s="235" t="s">
        <v>261</v>
      </c>
      <c r="F99" s="279"/>
    </row>
    <row r="100" spans="1:6">
      <c r="A100" s="275" t="s">
        <v>262</v>
      </c>
      <c r="F100" s="279"/>
    </row>
    <row r="101" spans="1:6">
      <c r="A101" s="223"/>
      <c r="F101" s="279"/>
    </row>
    <row r="102" spans="1:6">
      <c r="A102" s="545" t="s">
        <v>263</v>
      </c>
      <c r="B102" s="545"/>
      <c r="C102" s="545"/>
      <c r="D102" s="545"/>
      <c r="E102" s="545"/>
      <c r="F102" s="545"/>
    </row>
  </sheetData>
  <mergeCells count="18">
    <mergeCell ref="A102:F102"/>
    <mergeCell ref="B24:C24"/>
    <mergeCell ref="D24:E24"/>
    <mergeCell ref="A25:A26"/>
    <mergeCell ref="B25:B26"/>
    <mergeCell ref="C25:D25"/>
    <mergeCell ref="E25:F25"/>
    <mergeCell ref="A75:F75"/>
    <mergeCell ref="E88:F88"/>
    <mergeCell ref="E89:F89"/>
    <mergeCell ref="E90:F90"/>
    <mergeCell ref="E91:F91"/>
    <mergeCell ref="A1:F1"/>
    <mergeCell ref="A2:F2"/>
    <mergeCell ref="D3:F3"/>
    <mergeCell ref="H10:I10"/>
    <mergeCell ref="B14:C14"/>
    <mergeCell ref="E14:F14"/>
  </mergeCells>
  <pageMargins left="0" right="0" top="0.39370078740157483" bottom="0.39370078740157483" header="0" footer="0"/>
  <pageSetup paperSize="0" fitToWidth="0" fitToHeight="0" pageOrder="overThenDown" horizontalDpi="0" verticalDpi="0" copies="0"/>
  <headerFooter>
    <oddHeader>&amp;C&amp;A</oddHeader>
    <oddFooter>&amp;CPage &amp;P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EB501-F7CC-4BE0-87D8-8941AA829634}">
  <dimension ref="A1:P122"/>
  <sheetViews>
    <sheetView topLeftCell="A3" workbookViewId="0">
      <selection activeCell="A13" sqref="A13"/>
    </sheetView>
  </sheetViews>
  <sheetFormatPr baseColWidth="10" defaultRowHeight="12.75"/>
  <cols>
    <col min="1" max="1" width="59.85546875" style="303" customWidth="1"/>
    <col min="2" max="5" width="12.140625" style="303" customWidth="1"/>
    <col min="6" max="6" width="16.140625" style="303" customWidth="1"/>
    <col min="7" max="7" width="14.7109375" style="303" customWidth="1"/>
    <col min="8" max="9" width="12.140625" style="303" customWidth="1"/>
    <col min="10" max="10" width="15.5703125" style="303" customWidth="1"/>
    <col min="11" max="16" width="12.140625" style="303" customWidth="1"/>
    <col min="17" max="16384" width="11.42578125" style="303"/>
  </cols>
  <sheetData>
    <row r="1" spans="1:16" ht="16.5">
      <c r="A1" s="297" t="s">
        <v>0</v>
      </c>
      <c r="B1" s="298">
        <v>8</v>
      </c>
      <c r="C1" s="299"/>
      <c r="D1" s="576" t="s">
        <v>1</v>
      </c>
      <c r="E1" s="576"/>
      <c r="F1" s="300">
        <v>11.65</v>
      </c>
      <c r="G1" s="301"/>
      <c r="H1" s="301"/>
      <c r="I1" s="301"/>
      <c r="J1" s="301"/>
      <c r="K1" s="302"/>
      <c r="L1" s="302"/>
      <c r="M1" s="301"/>
      <c r="N1" s="301"/>
      <c r="O1" s="301"/>
      <c r="P1" s="301"/>
    </row>
    <row r="2" spans="1:16" ht="16.5">
      <c r="A2" s="297" t="s">
        <v>2</v>
      </c>
      <c r="B2" s="304">
        <f>D29</f>
        <v>1499.4380386892597</v>
      </c>
      <c r="C2" s="299"/>
      <c r="D2" s="575" t="s">
        <v>3</v>
      </c>
      <c r="E2" s="575"/>
      <c r="F2" s="305">
        <f>F1*151.67</f>
        <v>1766.9554999999998</v>
      </c>
      <c r="G2" s="301"/>
      <c r="H2" s="301"/>
      <c r="I2" s="301"/>
      <c r="J2" s="301"/>
      <c r="K2" s="302"/>
      <c r="L2" s="306" t="s">
        <v>4</v>
      </c>
      <c r="M2" s="301"/>
      <c r="N2" s="301"/>
      <c r="O2" s="301"/>
      <c r="P2" s="301"/>
    </row>
    <row r="3" spans="1:16" ht="16.5">
      <c r="A3" s="297" t="s">
        <v>5</v>
      </c>
      <c r="B3" s="307">
        <f>IF(B2&lt;F6,B2,F6)</f>
        <v>1499.4380386892597</v>
      </c>
      <c r="C3" s="299"/>
      <c r="D3" s="576" t="s">
        <v>6</v>
      </c>
      <c r="E3" s="576"/>
      <c r="F3" s="308">
        <f>F2*1.6</f>
        <v>2827.1288</v>
      </c>
      <c r="G3" s="301"/>
      <c r="H3" s="301"/>
      <c r="I3" s="301"/>
      <c r="J3" s="301"/>
      <c r="K3" s="302"/>
      <c r="L3" s="306" t="s">
        <v>7</v>
      </c>
      <c r="M3" s="301"/>
      <c r="N3" s="301"/>
      <c r="O3" s="301"/>
      <c r="P3" s="301"/>
    </row>
    <row r="4" spans="1:16" ht="16.5">
      <c r="A4" s="297" t="s">
        <v>8</v>
      </c>
      <c r="B4" s="309">
        <f>IF(B2&lt;F7,B2-B3,F7-B3)</f>
        <v>0</v>
      </c>
      <c r="C4" s="299"/>
      <c r="D4" s="576" t="s">
        <v>9</v>
      </c>
      <c r="E4" s="576"/>
      <c r="F4" s="308">
        <f>F2*2.5</f>
        <v>4417.3887499999992</v>
      </c>
      <c r="G4" s="301"/>
      <c r="H4" s="301"/>
      <c r="I4" s="301"/>
      <c r="J4" s="301"/>
      <c r="K4" s="302"/>
      <c r="L4" s="302"/>
      <c r="M4" s="301"/>
      <c r="N4" s="301"/>
      <c r="O4" s="301"/>
      <c r="P4" s="301"/>
    </row>
    <row r="5" spans="1:16" ht="16.5">
      <c r="A5" s="297" t="s">
        <v>10</v>
      </c>
      <c r="B5" s="309">
        <f>IF(B2&lt;F6,B2,F6)</f>
        <v>1499.4380386892597</v>
      </c>
      <c r="C5" s="299"/>
      <c r="D5" s="576" t="s">
        <v>11</v>
      </c>
      <c r="E5" s="576"/>
      <c r="F5" s="308">
        <f>F2*3.5</f>
        <v>6184.3442499999992</v>
      </c>
      <c r="G5" s="301"/>
      <c r="H5" s="301"/>
      <c r="I5" s="301"/>
      <c r="J5" s="577"/>
      <c r="K5" s="577"/>
      <c r="L5" s="577"/>
      <c r="M5" s="577"/>
      <c r="N5" s="577"/>
      <c r="O5" s="577"/>
      <c r="P5" s="577"/>
    </row>
    <row r="6" spans="1:16" ht="16.5">
      <c r="A6" s="297" t="s">
        <v>13</v>
      </c>
      <c r="B6" s="307">
        <f>IF(B2&lt;F8,B2-B5,F8-F6)</f>
        <v>0</v>
      </c>
      <c r="C6" s="299"/>
      <c r="D6" s="575" t="s">
        <v>14</v>
      </c>
      <c r="E6" s="575"/>
      <c r="F6" s="310">
        <v>3864</v>
      </c>
      <c r="G6" s="301"/>
      <c r="H6" s="301"/>
      <c r="I6" s="301"/>
      <c r="J6" s="311"/>
      <c r="K6" s="311"/>
      <c r="L6" s="311"/>
      <c r="M6" s="311"/>
      <c r="N6" s="311"/>
      <c r="O6" s="311"/>
      <c r="P6" s="311"/>
    </row>
    <row r="7" spans="1:16" ht="14.45" customHeight="1">
      <c r="A7" s="297" t="s">
        <v>15</v>
      </c>
      <c r="B7" s="307">
        <f>IF(B2&lt;F7,B2,F7)</f>
        <v>1499.4380386892597</v>
      </c>
      <c r="C7" s="299"/>
      <c r="D7" s="576" t="s">
        <v>16</v>
      </c>
      <c r="E7" s="576"/>
      <c r="F7" s="308">
        <f>F6*4</f>
        <v>15456</v>
      </c>
      <c r="G7" s="301"/>
      <c r="H7" s="301"/>
      <c r="I7" s="301"/>
      <c r="J7" s="312"/>
      <c r="K7" s="312"/>
      <c r="L7" s="312"/>
      <c r="M7" s="301"/>
      <c r="N7" s="301"/>
      <c r="O7" s="301"/>
      <c r="P7" s="301"/>
    </row>
    <row r="8" spans="1:16" ht="17.25" thickBot="1">
      <c r="A8" s="297" t="s">
        <v>22</v>
      </c>
      <c r="B8" s="307">
        <f>IF(B2&lt;F6,B2,F6)</f>
        <v>1499.4380386892597</v>
      </c>
      <c r="C8" s="299"/>
      <c r="D8" s="576" t="s">
        <v>23</v>
      </c>
      <c r="E8" s="576"/>
      <c r="F8" s="308">
        <f>F6*8</f>
        <v>30912</v>
      </c>
      <c r="G8" s="301"/>
      <c r="H8" s="301"/>
      <c r="I8" s="301"/>
      <c r="J8" s="312"/>
      <c r="K8" s="312"/>
      <c r="L8" s="312"/>
      <c r="M8" s="301"/>
      <c r="N8" s="301"/>
      <c r="O8" s="301"/>
      <c r="P8" s="301"/>
    </row>
    <row r="9" spans="1:16" ht="19.5" customHeight="1" thickBot="1">
      <c r="A9" s="313" t="s">
        <v>24</v>
      </c>
      <c r="B9" s="314">
        <f>IF(B2&gt;F6,B3+B6,0)</f>
        <v>0</v>
      </c>
      <c r="C9" s="299"/>
      <c r="D9" s="576" t="s">
        <v>25</v>
      </c>
      <c r="E9" s="576"/>
      <c r="F9" s="315" t="s">
        <v>26</v>
      </c>
      <c r="G9" s="301"/>
      <c r="H9" s="301"/>
      <c r="I9" s="301"/>
      <c r="J9" s="316" t="s">
        <v>268</v>
      </c>
      <c r="K9" s="316" t="s">
        <v>269</v>
      </c>
      <c r="L9" s="316" t="s">
        <v>270</v>
      </c>
      <c r="M9" s="316" t="s">
        <v>271</v>
      </c>
      <c r="N9" s="316" t="s">
        <v>272</v>
      </c>
      <c r="O9" s="301"/>
      <c r="P9" s="301"/>
    </row>
    <row r="10" spans="1:16" ht="23.25">
      <c r="A10" s="297" t="s">
        <v>27</v>
      </c>
      <c r="B10" s="317">
        <f>D21+D22+D23</f>
        <v>103.53963868925959</v>
      </c>
      <c r="C10" s="299"/>
      <c r="D10" s="576" t="s">
        <v>28</v>
      </c>
      <c r="E10" s="576"/>
      <c r="F10" s="315" t="s">
        <v>273</v>
      </c>
      <c r="G10" s="302"/>
      <c r="H10" s="318"/>
      <c r="I10" s="302"/>
      <c r="J10" s="572" t="s">
        <v>274</v>
      </c>
      <c r="K10" s="320">
        <v>0.27</v>
      </c>
      <c r="L10" s="320">
        <v>0.43</v>
      </c>
      <c r="M10" s="572" t="s">
        <v>275</v>
      </c>
      <c r="N10" s="319" t="s">
        <v>276</v>
      </c>
    </row>
    <row r="11" spans="1:16" ht="21" customHeight="1" thickBot="1">
      <c r="A11" s="313" t="s">
        <v>277</v>
      </c>
      <c r="B11" s="314">
        <f>79%*F2</f>
        <v>1395.8948449999998</v>
      </c>
      <c r="C11" s="299"/>
      <c r="D11" s="301"/>
      <c r="E11" s="301"/>
      <c r="F11" s="301"/>
      <c r="G11" s="302"/>
      <c r="H11" s="302"/>
      <c r="I11" s="312"/>
      <c r="J11" s="573"/>
      <c r="K11" s="321" t="s">
        <v>278</v>
      </c>
      <c r="L11" s="321" t="s">
        <v>279</v>
      </c>
      <c r="M11" s="573"/>
      <c r="N11" s="321" t="s">
        <v>280</v>
      </c>
    </row>
    <row r="12" spans="1:16" ht="23.25">
      <c r="A12" s="313" t="s">
        <v>281</v>
      </c>
      <c r="B12" s="322">
        <f>D29-B11</f>
        <v>103.54319368925985</v>
      </c>
      <c r="C12" s="323"/>
      <c r="D12" s="301"/>
      <c r="E12" s="301"/>
      <c r="F12" s="301"/>
      <c r="G12" s="302"/>
      <c r="H12" s="318"/>
      <c r="I12" s="312"/>
      <c r="J12" s="572" t="s">
        <v>282</v>
      </c>
      <c r="K12" s="572" t="s">
        <v>283</v>
      </c>
      <c r="L12" s="320">
        <v>0.51</v>
      </c>
      <c r="M12" s="319" t="s">
        <v>284</v>
      </c>
      <c r="N12" s="319" t="s">
        <v>276</v>
      </c>
    </row>
    <row r="13" spans="1:16" ht="47.25" thickBot="1">
      <c r="A13" s="614" t="s">
        <v>308</v>
      </c>
      <c r="B13" s="301"/>
      <c r="C13" s="323"/>
      <c r="D13" s="323"/>
      <c r="E13" s="323"/>
      <c r="F13" s="323"/>
      <c r="G13" s="302"/>
      <c r="H13" s="302"/>
      <c r="I13" s="312"/>
      <c r="J13" s="573"/>
      <c r="K13" s="573"/>
      <c r="L13" s="321" t="s">
        <v>285</v>
      </c>
      <c r="M13" s="321" t="s">
        <v>286</v>
      </c>
      <c r="N13" s="321" t="s">
        <v>280</v>
      </c>
    </row>
    <row r="14" spans="1:16" ht="23.25">
      <c r="A14" s="301"/>
      <c r="B14" s="301"/>
      <c r="C14" s="323"/>
      <c r="D14" s="323"/>
      <c r="E14" s="323"/>
      <c r="F14" s="323"/>
      <c r="G14" s="302"/>
      <c r="H14" s="302"/>
      <c r="I14" s="312"/>
      <c r="J14" s="572" t="s">
        <v>287</v>
      </c>
      <c r="K14" s="572" t="s">
        <v>288</v>
      </c>
      <c r="L14" s="320">
        <v>0.67</v>
      </c>
      <c r="M14" s="319" t="s">
        <v>289</v>
      </c>
      <c r="N14" s="319" t="s">
        <v>276</v>
      </c>
    </row>
    <row r="15" spans="1:16" ht="29.25" customHeight="1" thickBot="1">
      <c r="A15" s="324" t="s">
        <v>55</v>
      </c>
      <c r="B15" s="325"/>
      <c r="C15" s="326" t="s">
        <v>56</v>
      </c>
      <c r="D15" s="574"/>
      <c r="E15" s="574"/>
      <c r="F15" s="574"/>
      <c r="G15" s="302"/>
      <c r="H15" s="302"/>
      <c r="I15" s="327"/>
      <c r="J15" s="573"/>
      <c r="K15" s="573"/>
      <c r="L15" s="321" t="s">
        <v>290</v>
      </c>
      <c r="M15" s="321" t="s">
        <v>291</v>
      </c>
      <c r="N15" s="321" t="s">
        <v>280</v>
      </c>
    </row>
    <row r="16" spans="1:16" ht="16.5">
      <c r="A16" s="328" t="s">
        <v>57</v>
      </c>
      <c r="B16" s="328" t="s">
        <v>58</v>
      </c>
      <c r="C16" s="328" t="s">
        <v>59</v>
      </c>
      <c r="D16" s="563" t="s">
        <v>60</v>
      </c>
      <c r="E16" s="563"/>
      <c r="F16" s="563"/>
      <c r="G16" s="302"/>
      <c r="H16" s="302"/>
      <c r="I16" s="312"/>
    </row>
    <row r="17" spans="1:16" ht="16.5">
      <c r="A17" s="329" t="s">
        <v>61</v>
      </c>
      <c r="B17" s="330">
        <v>1766.96</v>
      </c>
      <c r="C17" s="331">
        <v>0.79</v>
      </c>
      <c r="D17" s="571">
        <f>B17*C17</f>
        <v>1395.8984</v>
      </c>
      <c r="E17" s="571"/>
      <c r="F17" s="571"/>
      <c r="G17" s="302"/>
      <c r="H17" s="302"/>
      <c r="I17" s="312"/>
    </row>
    <row r="18" spans="1:16" ht="16.5">
      <c r="A18" s="329" t="s">
        <v>63</v>
      </c>
      <c r="B18" s="330"/>
      <c r="C18" s="331"/>
      <c r="D18" s="567"/>
      <c r="E18" s="567"/>
      <c r="F18" s="567"/>
      <c r="G18" s="302"/>
      <c r="H18" s="302"/>
      <c r="I18" s="312"/>
    </row>
    <row r="19" spans="1:16" ht="16.5">
      <c r="A19" s="329" t="s">
        <v>292</v>
      </c>
      <c r="B19" s="330"/>
      <c r="C19" s="331"/>
      <c r="D19" s="567"/>
      <c r="E19" s="567"/>
      <c r="F19" s="567"/>
      <c r="G19" s="302"/>
      <c r="H19" s="302"/>
      <c r="I19" s="312"/>
    </row>
    <row r="20" spans="1:16" ht="16.5">
      <c r="A20" s="329"/>
      <c r="B20" s="332"/>
      <c r="C20" s="332"/>
      <c r="D20" s="567"/>
      <c r="E20" s="567"/>
      <c r="F20" s="567"/>
      <c r="G20" s="302"/>
      <c r="H20" s="302"/>
      <c r="I20" s="312"/>
    </row>
    <row r="21" spans="1:16" ht="16.5">
      <c r="A21" s="329" t="s">
        <v>64</v>
      </c>
      <c r="B21" s="330"/>
      <c r="C21" s="331">
        <f>(D17/151.67)*1.1</f>
        <v>10.123875782949828</v>
      </c>
      <c r="D21" s="567"/>
      <c r="E21" s="567"/>
      <c r="F21" s="567"/>
      <c r="G21" s="302"/>
      <c r="H21" s="302"/>
      <c r="I21" s="312"/>
    </row>
    <row r="22" spans="1:16" ht="16.5">
      <c r="A22" s="329" t="s">
        <v>65</v>
      </c>
      <c r="B22" s="330">
        <v>9</v>
      </c>
      <c r="C22" s="331">
        <f>(D17/151.67)*1.25</f>
        <v>11.504404298806621</v>
      </c>
      <c r="D22" s="567">
        <f>B22*C22</f>
        <v>103.53963868925959</v>
      </c>
      <c r="E22" s="567"/>
      <c r="F22" s="567"/>
      <c r="G22" s="333"/>
      <c r="H22" s="334"/>
      <c r="I22" s="312"/>
      <c r="J22" s="302"/>
      <c r="K22" s="302"/>
      <c r="L22" s="302"/>
      <c r="M22" s="301"/>
      <c r="N22" s="301"/>
      <c r="O22" s="301"/>
      <c r="P22" s="301"/>
    </row>
    <row r="23" spans="1:16" ht="16.5">
      <c r="A23" s="329" t="s">
        <v>66</v>
      </c>
      <c r="B23" s="330"/>
      <c r="C23" s="331">
        <f>(D17/151.67)*1.5</f>
        <v>13.805285158567944</v>
      </c>
      <c r="D23" s="567"/>
      <c r="E23" s="567"/>
      <c r="F23" s="567"/>
      <c r="G23" s="302"/>
      <c r="H23" s="302"/>
      <c r="I23" s="312"/>
      <c r="J23" s="302"/>
      <c r="K23" s="302"/>
      <c r="L23" s="302"/>
      <c r="M23" s="301"/>
      <c r="N23" s="301"/>
      <c r="O23" s="301"/>
      <c r="P23" s="301"/>
    </row>
    <row r="24" spans="1:16" ht="17.25" thickBot="1">
      <c r="A24" s="329" t="s">
        <v>293</v>
      </c>
      <c r="B24" s="330"/>
      <c r="C24" s="330"/>
      <c r="D24" s="567"/>
      <c r="E24" s="567"/>
      <c r="F24" s="567"/>
      <c r="G24" s="302"/>
      <c r="H24" s="302"/>
      <c r="I24" s="312"/>
      <c r="J24" s="302"/>
      <c r="K24" s="302"/>
      <c r="L24" s="302"/>
      <c r="M24" s="301"/>
      <c r="N24" s="301"/>
      <c r="O24" s="301"/>
      <c r="P24" s="301"/>
    </row>
    <row r="25" spans="1:16" ht="17.25" thickBot="1">
      <c r="A25" s="329" t="s">
        <v>67</v>
      </c>
      <c r="B25" s="330"/>
      <c r="C25" s="330"/>
      <c r="D25" s="567"/>
      <c r="E25" s="567"/>
      <c r="F25" s="567"/>
      <c r="G25" s="335"/>
      <c r="H25" s="302"/>
      <c r="I25" s="312"/>
      <c r="J25" s="568" t="s">
        <v>294</v>
      </c>
      <c r="K25" s="568"/>
      <c r="L25" s="336" t="s">
        <v>30</v>
      </c>
      <c r="M25" s="337">
        <v>45047</v>
      </c>
      <c r="N25" s="338" t="s">
        <v>31</v>
      </c>
      <c r="O25" s="339">
        <f>DAY(EOMONTH(M25,0))</f>
        <v>31</v>
      </c>
      <c r="P25" s="340"/>
    </row>
    <row r="26" spans="1:16" ht="17.25" thickBot="1">
      <c r="A26" s="329"/>
      <c r="B26" s="330"/>
      <c r="C26" s="330"/>
      <c r="D26" s="567"/>
      <c r="E26" s="567"/>
      <c r="F26" s="567"/>
      <c r="G26" s="302"/>
      <c r="H26" s="341"/>
      <c r="I26" s="312"/>
      <c r="J26" s="568"/>
      <c r="K26" s="568"/>
      <c r="L26" s="342" t="s">
        <v>33</v>
      </c>
      <c r="M26" s="343">
        <v>45047</v>
      </c>
      <c r="N26" s="344" t="s">
        <v>34</v>
      </c>
      <c r="O26" s="345">
        <v>45077</v>
      </c>
      <c r="P26" s="346" t="s">
        <v>54</v>
      </c>
    </row>
    <row r="27" spans="1:16" ht="18.75" customHeight="1" thickBot="1">
      <c r="A27" s="329"/>
      <c r="B27" s="330"/>
      <c r="C27" s="330"/>
      <c r="D27" s="567"/>
      <c r="E27" s="567"/>
      <c r="F27" s="567"/>
      <c r="G27" s="302"/>
      <c r="H27" s="341"/>
      <c r="I27" s="312"/>
      <c r="J27" s="568"/>
      <c r="K27" s="568"/>
      <c r="L27" s="347" t="s">
        <v>37</v>
      </c>
      <c r="M27" s="348">
        <f>DATEDIF(M26,O26,"md")+1</f>
        <v>31</v>
      </c>
      <c r="N27" s="349" t="s">
        <v>38</v>
      </c>
      <c r="O27" s="350">
        <v>0</v>
      </c>
      <c r="P27" s="340"/>
    </row>
    <row r="28" spans="1:16" ht="17.25" thickBot="1">
      <c r="A28" s="351" t="s">
        <v>68</v>
      </c>
      <c r="B28" s="352"/>
      <c r="C28" s="352"/>
      <c r="D28" s="569"/>
      <c r="E28" s="569"/>
      <c r="F28" s="569"/>
      <c r="G28" s="302"/>
      <c r="H28" s="302"/>
      <c r="I28" s="312"/>
      <c r="J28" s="568"/>
      <c r="K28" s="568"/>
      <c r="L28" s="353" t="s">
        <v>41</v>
      </c>
      <c r="M28" s="354">
        <v>91</v>
      </c>
      <c r="N28" s="355" t="s">
        <v>42</v>
      </c>
      <c r="O28" s="356">
        <v>6</v>
      </c>
      <c r="P28" s="340"/>
    </row>
    <row r="29" spans="1:16" ht="18.75" customHeight="1" thickBot="1">
      <c r="A29" s="357" t="s">
        <v>69</v>
      </c>
      <c r="B29" s="358"/>
      <c r="C29" s="359"/>
      <c r="D29" s="570">
        <f>SUM(D17:F28)</f>
        <v>1499.4380386892597</v>
      </c>
      <c r="E29" s="570"/>
      <c r="F29" s="570"/>
      <c r="G29" s="302"/>
      <c r="H29" s="302"/>
      <c r="I29" s="302"/>
      <c r="J29" s="568"/>
      <c r="K29" s="568"/>
      <c r="L29" s="360" t="s">
        <v>45</v>
      </c>
      <c r="M29" s="360" t="s">
        <v>46</v>
      </c>
      <c r="N29" s="360" t="s">
        <v>47</v>
      </c>
      <c r="O29" s="361" t="s">
        <v>48</v>
      </c>
      <c r="P29" s="340"/>
    </row>
    <row r="30" spans="1:16" ht="17.25" thickBot="1">
      <c r="A30" s="563" t="s">
        <v>70</v>
      </c>
      <c r="B30" s="563" t="s">
        <v>58</v>
      </c>
      <c r="C30" s="563" t="s">
        <v>71</v>
      </c>
      <c r="D30" s="563"/>
      <c r="E30" s="564" t="s">
        <v>72</v>
      </c>
      <c r="F30" s="564"/>
      <c r="G30" s="302"/>
      <c r="H30" s="302"/>
      <c r="I30" s="302"/>
      <c r="J30" s="568"/>
      <c r="K30" s="568"/>
      <c r="L30" s="362">
        <v>3864</v>
      </c>
      <c r="M30" s="363">
        <f>L30*((M27-O27)/O25)</f>
        <v>3864</v>
      </c>
      <c r="N30" s="363">
        <f>L30*((M28+O28)/151.67)</f>
        <v>2471.2072262148085</v>
      </c>
      <c r="O30" s="364">
        <f>L30*((M27-O27)/O25)*((M28+O28)/151.67)</f>
        <v>2471.2072262148085</v>
      </c>
      <c r="P30" s="340"/>
    </row>
    <row r="31" spans="1:16" ht="16.5">
      <c r="A31" s="563"/>
      <c r="B31" s="563"/>
      <c r="C31" s="365" t="s">
        <v>59</v>
      </c>
      <c r="D31" s="365" t="s">
        <v>73</v>
      </c>
      <c r="E31" s="366" t="s">
        <v>59</v>
      </c>
      <c r="F31" s="366" t="s">
        <v>73</v>
      </c>
      <c r="G31" s="302"/>
      <c r="H31" s="302"/>
      <c r="I31" s="302"/>
      <c r="J31" s="302"/>
      <c r="K31" s="302"/>
      <c r="L31" s="302"/>
      <c r="M31" s="301"/>
      <c r="N31" s="301"/>
      <c r="O31" s="301"/>
      <c r="P31" s="301"/>
    </row>
    <row r="32" spans="1:16" ht="16.5">
      <c r="A32" s="367" t="s">
        <v>74</v>
      </c>
      <c r="B32" s="329"/>
      <c r="C32" s="368"/>
      <c r="D32" s="329"/>
      <c r="E32" s="368"/>
      <c r="F32" s="329"/>
      <c r="G32" s="302"/>
      <c r="H32" s="302"/>
      <c r="I32" s="312"/>
      <c r="J32" s="302"/>
      <c r="K32" s="302"/>
      <c r="L32" s="302"/>
      <c r="M32" s="301"/>
      <c r="N32" s="301"/>
      <c r="O32" s="301"/>
      <c r="P32" s="301"/>
    </row>
    <row r="33" spans="1:16" ht="16.5">
      <c r="A33" s="329" t="s">
        <v>75</v>
      </c>
      <c r="B33" s="369">
        <f>B2</f>
        <v>1499.4380386892597</v>
      </c>
      <c r="C33" s="370"/>
      <c r="D33" s="371"/>
      <c r="E33" s="368">
        <v>7.0000000000000007E-2</v>
      </c>
      <c r="F33" s="372">
        <f>B33*E33</f>
        <v>104.96066270824818</v>
      </c>
      <c r="G33" s="302"/>
      <c r="H33" s="302"/>
      <c r="I33" s="312"/>
      <c r="J33" s="302"/>
      <c r="K33" s="302"/>
      <c r="L33" s="302"/>
      <c r="M33" s="301"/>
      <c r="N33" s="301"/>
      <c r="O33" s="301"/>
      <c r="P33" s="301"/>
    </row>
    <row r="34" spans="1:16" ht="16.5">
      <c r="A34" s="329" t="s">
        <v>76</v>
      </c>
      <c r="B34" s="373">
        <f>IF(B2&lt;F4,0,B2)</f>
        <v>0</v>
      </c>
      <c r="C34" s="370"/>
      <c r="D34" s="371"/>
      <c r="E34" s="368">
        <v>0.06</v>
      </c>
      <c r="F34" s="374">
        <f>B34*E34</f>
        <v>0</v>
      </c>
      <c r="G34" s="302"/>
      <c r="H34" s="302"/>
      <c r="I34" s="302"/>
      <c r="J34" s="312"/>
      <c r="K34" s="312"/>
      <c r="L34" s="312"/>
      <c r="M34" s="301"/>
      <c r="N34" s="301"/>
      <c r="O34" s="301"/>
      <c r="P34" s="301"/>
    </row>
    <row r="35" spans="1:16" ht="16.5">
      <c r="A35" s="329" t="s">
        <v>77</v>
      </c>
      <c r="B35" s="375"/>
      <c r="C35" s="370"/>
      <c r="D35" s="371"/>
      <c r="E35" s="376">
        <v>0.06</v>
      </c>
      <c r="F35" s="374">
        <f>B35*E35</f>
        <v>0</v>
      </c>
      <c r="G35" s="302"/>
      <c r="H35" s="302"/>
      <c r="I35" s="302"/>
      <c r="J35" s="312"/>
      <c r="K35" s="312"/>
      <c r="L35" s="312"/>
      <c r="M35" s="301"/>
      <c r="N35" s="301"/>
      <c r="O35" s="301"/>
      <c r="P35" s="301"/>
    </row>
    <row r="36" spans="1:16" ht="16.5">
      <c r="A36" s="329" t="s">
        <v>78</v>
      </c>
      <c r="B36" s="375">
        <v>0</v>
      </c>
      <c r="C36" s="376">
        <v>0</v>
      </c>
      <c r="D36" s="372">
        <f>C36*B36</f>
        <v>0</v>
      </c>
      <c r="E36" s="376">
        <v>0</v>
      </c>
      <c r="F36" s="372">
        <f>B36*E36</f>
        <v>0</v>
      </c>
      <c r="G36" s="302"/>
      <c r="H36" s="302"/>
      <c r="I36" s="302"/>
      <c r="J36" s="302"/>
      <c r="K36" s="302"/>
      <c r="L36" s="302"/>
      <c r="M36" s="301"/>
      <c r="N36" s="301"/>
      <c r="O36" s="301"/>
      <c r="P36" s="301"/>
    </row>
    <row r="37" spans="1:16" ht="16.5">
      <c r="A37" s="329" t="s">
        <v>79</v>
      </c>
      <c r="B37" s="375">
        <f>B3</f>
        <v>1499.4380386892597</v>
      </c>
      <c r="C37" s="370"/>
      <c r="D37" s="377"/>
      <c r="E37" s="378">
        <f>IF(F10="cadre",1.5%,0%)</f>
        <v>0</v>
      </c>
      <c r="F37" s="372">
        <f>B37*E37</f>
        <v>0</v>
      </c>
      <c r="G37" s="302"/>
      <c r="H37" s="334"/>
      <c r="I37" s="302"/>
      <c r="J37" s="302"/>
      <c r="K37" s="302"/>
      <c r="L37" s="302"/>
      <c r="M37" s="301"/>
      <c r="N37" s="301"/>
      <c r="O37" s="301"/>
      <c r="P37" s="301"/>
    </row>
    <row r="38" spans="1:16" ht="16.5">
      <c r="A38" s="329"/>
      <c r="B38" s="332"/>
      <c r="C38" s="368"/>
      <c r="D38" s="329"/>
      <c r="E38" s="368"/>
      <c r="F38" s="329"/>
      <c r="G38" s="302"/>
      <c r="H38" s="334"/>
      <c r="I38" s="302"/>
      <c r="J38" s="302"/>
      <c r="K38" s="302"/>
      <c r="L38" s="302"/>
      <c r="M38" s="301"/>
      <c r="N38" s="301"/>
      <c r="O38" s="301"/>
      <c r="P38" s="301"/>
    </row>
    <row r="39" spans="1:16" ht="16.5">
      <c r="A39" s="367" t="s">
        <v>80</v>
      </c>
      <c r="B39" s="332">
        <f>D29</f>
        <v>1499.4380386892597</v>
      </c>
      <c r="C39" s="370"/>
      <c r="D39" s="371"/>
      <c r="E39" s="376">
        <v>2.5000000000000001E-2</v>
      </c>
      <c r="F39" s="374">
        <f>B39*E39</f>
        <v>37.485950967231496</v>
      </c>
      <c r="G39" s="302"/>
      <c r="H39" s="334"/>
      <c r="I39" s="302"/>
      <c r="J39" s="302"/>
      <c r="K39" s="302"/>
      <c r="L39" s="302"/>
      <c r="M39" s="301"/>
      <c r="N39" s="301"/>
      <c r="O39" s="301"/>
      <c r="P39" s="301"/>
    </row>
    <row r="40" spans="1:16" ht="16.5">
      <c r="A40" s="329"/>
      <c r="B40" s="332"/>
      <c r="C40" s="368"/>
      <c r="D40" s="329"/>
      <c r="E40" s="368"/>
      <c r="F40" s="329"/>
      <c r="G40" s="302"/>
      <c r="H40" s="302"/>
      <c r="I40" s="302"/>
      <c r="J40" s="302"/>
      <c r="K40" s="302"/>
      <c r="L40" s="302"/>
      <c r="M40" s="301"/>
      <c r="N40" s="301"/>
      <c r="O40" s="301"/>
      <c r="P40" s="301"/>
    </row>
    <row r="41" spans="1:16" ht="16.5">
      <c r="A41" s="367" t="s">
        <v>81</v>
      </c>
      <c r="B41" s="332"/>
      <c r="C41" s="368"/>
      <c r="D41" s="329"/>
      <c r="E41" s="368"/>
      <c r="F41" s="329"/>
      <c r="G41" s="302"/>
      <c r="H41" s="302"/>
      <c r="I41" s="302"/>
      <c r="J41" s="302"/>
      <c r="K41" s="302"/>
      <c r="L41" s="302"/>
      <c r="M41" s="301"/>
      <c r="N41" s="301"/>
      <c r="O41" s="301"/>
      <c r="P41" s="301"/>
    </row>
    <row r="42" spans="1:16" ht="16.5">
      <c r="A42" s="329" t="s">
        <v>82</v>
      </c>
      <c r="B42" s="369">
        <f>B3</f>
        <v>1499.4380386892597</v>
      </c>
      <c r="C42" s="368">
        <v>6.9000000000000006E-2</v>
      </c>
      <c r="D42" s="372">
        <f>$B$12*C42</f>
        <v>7.1444803645589303</v>
      </c>
      <c r="E42" s="368">
        <v>8.5500000000000007E-2</v>
      </c>
      <c r="F42" s="372">
        <f t="shared" ref="F42:F45" si="0">B42*E42</f>
        <v>128.20195230793172</v>
      </c>
      <c r="G42" s="302"/>
      <c r="H42" s="302"/>
      <c r="I42" s="302"/>
      <c r="J42" s="302"/>
      <c r="K42" s="302"/>
      <c r="L42" s="302"/>
      <c r="M42" s="301"/>
      <c r="N42" s="301"/>
      <c r="O42" s="301"/>
      <c r="P42" s="301"/>
    </row>
    <row r="43" spans="1:16" ht="16.5">
      <c r="A43" s="329" t="s">
        <v>83</v>
      </c>
      <c r="B43" s="369">
        <f>B2</f>
        <v>1499.4380386892597</v>
      </c>
      <c r="C43" s="378">
        <v>4.0000000000000001E-3</v>
      </c>
      <c r="D43" s="372">
        <f t="shared" ref="D43:D45" si="1">$B$12*C43</f>
        <v>0.4141727747570394</v>
      </c>
      <c r="E43" s="378">
        <v>2.0199999999999999E-2</v>
      </c>
      <c r="F43" s="372">
        <f t="shared" si="0"/>
        <v>30.288648381523043</v>
      </c>
      <c r="G43" s="302"/>
      <c r="H43" s="302"/>
      <c r="I43" s="302"/>
      <c r="J43" s="302"/>
      <c r="K43" s="302"/>
      <c r="L43" s="302"/>
      <c r="M43" s="301"/>
      <c r="N43" s="301"/>
      <c r="O43" s="301"/>
      <c r="P43" s="301"/>
    </row>
    <row r="44" spans="1:16" ht="16.5">
      <c r="A44" s="329" t="s">
        <v>84</v>
      </c>
      <c r="B44" s="369">
        <f>B3</f>
        <v>1499.4380386892597</v>
      </c>
      <c r="C44" s="378">
        <v>3.15E-2</v>
      </c>
      <c r="D44" s="372">
        <f t="shared" si="1"/>
        <v>3.2616106012116854</v>
      </c>
      <c r="E44" s="378">
        <v>4.7199999999999999E-2</v>
      </c>
      <c r="F44" s="379">
        <f t="shared" si="0"/>
        <v>70.773475426133061</v>
      </c>
      <c r="G44" s="565">
        <f>F44+F45</f>
        <v>90.116226125224514</v>
      </c>
      <c r="H44" s="380"/>
      <c r="I44" s="302"/>
      <c r="J44" s="302"/>
      <c r="K44" s="302"/>
      <c r="L44" s="302"/>
      <c r="M44" s="301"/>
      <c r="N44" s="301"/>
      <c r="O44" s="301"/>
      <c r="P44" s="301"/>
    </row>
    <row r="45" spans="1:16" ht="16.5">
      <c r="A45" s="329" t="s">
        <v>86</v>
      </c>
      <c r="B45" s="369">
        <f>B3</f>
        <v>1499.4380386892597</v>
      </c>
      <c r="C45" s="378">
        <v>8.6E-3</v>
      </c>
      <c r="D45" s="372">
        <f t="shared" si="1"/>
        <v>0.89047146572763469</v>
      </c>
      <c r="E45" s="368">
        <v>1.29E-2</v>
      </c>
      <c r="F45" s="381">
        <f t="shared" si="0"/>
        <v>19.34275069909145</v>
      </c>
      <c r="G45" s="565"/>
      <c r="H45" s="380"/>
      <c r="I45" s="302"/>
      <c r="J45" s="302"/>
      <c r="K45" s="302"/>
      <c r="L45" s="302"/>
      <c r="M45" s="301"/>
      <c r="N45" s="301"/>
      <c r="O45" s="301"/>
      <c r="P45" s="301"/>
    </row>
    <row r="46" spans="1:16" ht="16.5">
      <c r="A46" s="329"/>
      <c r="B46" s="332"/>
      <c r="C46" s="378"/>
      <c r="D46" s="329"/>
      <c r="E46" s="378"/>
      <c r="F46" s="329"/>
      <c r="G46" s="566"/>
      <c r="H46" s="302"/>
      <c r="I46" s="302"/>
      <c r="J46" s="302"/>
      <c r="K46" s="302"/>
      <c r="L46" s="302"/>
      <c r="M46" s="301"/>
      <c r="N46" s="301"/>
      <c r="O46" s="301"/>
      <c r="P46" s="301"/>
    </row>
    <row r="47" spans="1:16" ht="16.5">
      <c r="A47" s="367" t="s">
        <v>89</v>
      </c>
      <c r="B47" s="332"/>
      <c r="C47" s="378"/>
      <c r="D47" s="329"/>
      <c r="E47" s="378"/>
      <c r="F47" s="329"/>
      <c r="G47" s="566"/>
      <c r="H47" s="302"/>
      <c r="I47" s="302"/>
      <c r="J47" s="302"/>
      <c r="K47" s="302"/>
      <c r="L47" s="302"/>
      <c r="M47" s="301"/>
      <c r="N47" s="301"/>
      <c r="O47" s="301"/>
      <c r="P47" s="301"/>
    </row>
    <row r="48" spans="1:16" ht="16.5">
      <c r="A48" s="329" t="s">
        <v>90</v>
      </c>
      <c r="B48" s="369">
        <f>D29</f>
        <v>1499.4380386892597</v>
      </c>
      <c r="C48" s="382"/>
      <c r="D48" s="371"/>
      <c r="E48" s="378">
        <v>3.4500000000000003E-2</v>
      </c>
      <c r="F48" s="372">
        <f>B48*E48</f>
        <v>51.730612334779465</v>
      </c>
      <c r="G48" s="383"/>
      <c r="H48" s="302"/>
      <c r="I48" s="302"/>
      <c r="J48" s="302"/>
      <c r="K48" s="302"/>
      <c r="L48" s="302"/>
      <c r="M48" s="301"/>
      <c r="N48" s="301"/>
      <c r="O48" s="301"/>
      <c r="P48" s="301"/>
    </row>
    <row r="49" spans="1:16" ht="16.5">
      <c r="A49" s="329" t="s">
        <v>91</v>
      </c>
      <c r="B49" s="373">
        <f>IF(D29&gt;F5,B5+B6,0)</f>
        <v>0</v>
      </c>
      <c r="C49" s="382"/>
      <c r="D49" s="371"/>
      <c r="E49" s="378">
        <v>1.7999999999999999E-2</v>
      </c>
      <c r="F49" s="374">
        <f>B49*E49</f>
        <v>0</v>
      </c>
      <c r="G49" s="302"/>
      <c r="H49" s="302"/>
      <c r="I49" s="302"/>
      <c r="J49" s="302"/>
      <c r="K49" s="302"/>
      <c r="L49" s="302"/>
      <c r="M49" s="301"/>
      <c r="N49" s="301"/>
      <c r="O49" s="301"/>
      <c r="P49" s="301"/>
    </row>
    <row r="50" spans="1:16" ht="16.5">
      <c r="A50" s="329" t="s">
        <v>92</v>
      </c>
      <c r="B50" s="375"/>
      <c r="C50" s="382"/>
      <c r="D50" s="371"/>
      <c r="E50" s="378">
        <v>1.7999999999999999E-2</v>
      </c>
      <c r="F50" s="374">
        <f>B50*E50</f>
        <v>0</v>
      </c>
      <c r="G50" s="302"/>
      <c r="H50" s="302"/>
      <c r="I50" s="302"/>
      <c r="J50" s="302"/>
      <c r="K50" s="302"/>
      <c r="L50" s="302"/>
      <c r="M50" s="301"/>
      <c r="N50" s="301"/>
      <c r="O50" s="301"/>
      <c r="P50" s="301"/>
    </row>
    <row r="51" spans="1:16" ht="16.5">
      <c r="A51" s="329"/>
      <c r="B51" s="332"/>
      <c r="C51" s="378"/>
      <c r="D51" s="329"/>
      <c r="E51" s="378"/>
      <c r="F51" s="329"/>
      <c r="G51" s="302"/>
      <c r="H51" s="302"/>
      <c r="I51" s="302"/>
      <c r="J51" s="302"/>
      <c r="K51" s="302"/>
      <c r="L51" s="302"/>
      <c r="M51" s="301"/>
      <c r="N51" s="301"/>
      <c r="O51" s="301"/>
      <c r="P51" s="301"/>
    </row>
    <row r="52" spans="1:16" ht="16.5">
      <c r="A52" s="367" t="s">
        <v>93</v>
      </c>
      <c r="B52" s="332"/>
      <c r="C52" s="378"/>
      <c r="D52" s="329"/>
      <c r="E52" s="378"/>
      <c r="F52" s="329"/>
      <c r="G52" s="302"/>
      <c r="H52" s="302">
        <f>25-20.7</f>
        <v>4.3000000000000007</v>
      </c>
      <c r="I52" s="302"/>
      <c r="J52" s="302"/>
      <c r="K52" s="302"/>
      <c r="L52" s="302"/>
      <c r="M52" s="301"/>
      <c r="N52" s="301"/>
      <c r="O52" s="301"/>
      <c r="P52" s="301"/>
    </row>
    <row r="53" spans="1:16" ht="16.5">
      <c r="A53" s="329" t="s">
        <v>94</v>
      </c>
      <c r="B53" s="369">
        <f>B3+B4</f>
        <v>1499.4380386892597</v>
      </c>
      <c r="C53" s="370"/>
      <c r="D53" s="371"/>
      <c r="E53" s="378">
        <v>4.0500000000000001E-2</v>
      </c>
      <c r="F53" s="372">
        <f>B53*E53</f>
        <v>60.727240566915015</v>
      </c>
      <c r="G53" s="302"/>
      <c r="H53" s="302"/>
      <c r="I53" s="302"/>
      <c r="J53" s="302"/>
      <c r="K53" s="302"/>
      <c r="L53" s="302"/>
      <c r="M53" s="301"/>
      <c r="N53" s="301"/>
      <c r="O53" s="301"/>
      <c r="P53" s="301"/>
    </row>
    <row r="54" spans="1:16" ht="16.5">
      <c r="A54" s="329" t="s">
        <v>95</v>
      </c>
      <c r="B54" s="369">
        <f>B3+B4</f>
        <v>1499.4380386892597</v>
      </c>
      <c r="C54" s="382"/>
      <c r="D54" s="384"/>
      <c r="E54" s="378">
        <v>1.5E-3</v>
      </c>
      <c r="F54" s="372">
        <f>B54*E54</f>
        <v>2.2491570580338895</v>
      </c>
      <c r="G54" s="302"/>
      <c r="H54" s="302"/>
      <c r="I54" s="302"/>
      <c r="J54" s="302"/>
      <c r="K54" s="302"/>
      <c r="L54" s="302"/>
      <c r="M54" s="301"/>
      <c r="N54" s="301"/>
      <c r="O54" s="301"/>
      <c r="P54" s="301"/>
    </row>
    <row r="55" spans="1:16" ht="16.5">
      <c r="A55" s="329" t="s">
        <v>96</v>
      </c>
      <c r="B55" s="369">
        <f>IF(F10="cadre",B7,0)</f>
        <v>0</v>
      </c>
      <c r="C55" s="378">
        <f>IF(F10="cadre",0.024%,0%)</f>
        <v>0</v>
      </c>
      <c r="D55" s="329">
        <f>B55*C55</f>
        <v>0</v>
      </c>
      <c r="E55" s="378">
        <f>+IF(F10="cadre",0.036%,0)</f>
        <v>0</v>
      </c>
      <c r="F55" s="329">
        <f>B55*E55</f>
        <v>0</v>
      </c>
      <c r="G55" s="302"/>
      <c r="H55" s="302"/>
      <c r="I55" s="302"/>
      <c r="J55" s="302"/>
      <c r="K55" s="302"/>
      <c r="L55" s="302"/>
      <c r="M55" s="301"/>
      <c r="N55" s="301"/>
      <c r="O55" s="301"/>
      <c r="P55" s="301"/>
    </row>
    <row r="56" spans="1:16" ht="16.5">
      <c r="A56" s="329"/>
      <c r="B56" s="332"/>
      <c r="C56" s="378"/>
      <c r="D56" s="329"/>
      <c r="E56" s="378"/>
      <c r="F56" s="329"/>
      <c r="G56" s="558">
        <f>F53+F54</f>
        <v>62.976397624948902</v>
      </c>
      <c r="H56" s="302"/>
      <c r="I56" s="302"/>
      <c r="J56" s="302"/>
      <c r="K56" s="302"/>
      <c r="L56" s="302"/>
      <c r="M56" s="301"/>
      <c r="N56" s="301"/>
      <c r="O56" s="301"/>
      <c r="P56" s="301"/>
    </row>
    <row r="57" spans="1:16" ht="16.5">
      <c r="A57" s="367" t="s">
        <v>97</v>
      </c>
      <c r="B57" s="332"/>
      <c r="C57" s="378"/>
      <c r="D57" s="329"/>
      <c r="E57" s="378"/>
      <c r="F57" s="329"/>
      <c r="G57" s="558"/>
      <c r="H57" s="302"/>
      <c r="I57" s="302"/>
      <c r="J57" s="302"/>
      <c r="K57" s="302"/>
      <c r="L57" s="302"/>
      <c r="M57" s="301"/>
      <c r="N57" s="301"/>
      <c r="O57" s="301"/>
      <c r="P57" s="301"/>
    </row>
    <row r="58" spans="1:16" ht="16.5">
      <c r="A58" s="329" t="s">
        <v>98</v>
      </c>
      <c r="B58" s="369">
        <f>IF(B1&gt;=11,B2,0)</f>
        <v>0</v>
      </c>
      <c r="C58" s="382"/>
      <c r="D58" s="371"/>
      <c r="E58" s="385">
        <v>2.9499999999999998E-2</v>
      </c>
      <c r="F58" s="372">
        <f t="shared" ref="F58:F68" si="2">B58*E58</f>
        <v>0</v>
      </c>
      <c r="G58" s="302"/>
      <c r="H58" s="302"/>
      <c r="I58" s="302"/>
      <c r="J58" s="302"/>
      <c r="K58" s="302"/>
      <c r="L58" s="302"/>
      <c r="M58" s="301"/>
      <c r="N58" s="301"/>
      <c r="O58" s="301"/>
      <c r="P58" s="301"/>
    </row>
    <row r="59" spans="1:16" ht="16.5">
      <c r="A59" s="329" t="s">
        <v>99</v>
      </c>
      <c r="B59" s="369">
        <f>IF(B1&gt;50,B2,0)</f>
        <v>0</v>
      </c>
      <c r="C59" s="382"/>
      <c r="D59" s="371"/>
      <c r="E59" s="378">
        <v>4.4999999999999997E-3</v>
      </c>
      <c r="F59" s="372">
        <f t="shared" si="2"/>
        <v>0</v>
      </c>
      <c r="G59" s="302"/>
      <c r="H59" s="302"/>
      <c r="I59" s="302"/>
      <c r="J59" s="302"/>
      <c r="K59" s="302"/>
      <c r="L59" s="302"/>
      <c r="M59" s="301"/>
      <c r="N59" s="301"/>
      <c r="O59" s="301"/>
      <c r="P59" s="301"/>
    </row>
    <row r="60" spans="1:16" ht="16.5">
      <c r="A60" s="329" t="s">
        <v>100</v>
      </c>
      <c r="B60" s="369">
        <f>IF(B1&lt;11,0,D29)</f>
        <v>0</v>
      </c>
      <c r="C60" s="382"/>
      <c r="D60" s="371"/>
      <c r="E60" s="378">
        <v>6.7999999999999996E-3</v>
      </c>
      <c r="F60" s="372">
        <f t="shared" si="2"/>
        <v>0</v>
      </c>
      <c r="G60" s="302"/>
      <c r="H60" s="302"/>
      <c r="I60" s="302"/>
      <c r="J60" s="302"/>
      <c r="K60" s="302"/>
      <c r="L60" s="302"/>
      <c r="M60" s="301"/>
      <c r="N60" s="301"/>
      <c r="O60" s="301"/>
      <c r="P60" s="301"/>
    </row>
    <row r="61" spans="1:16" ht="16.5">
      <c r="A61" s="329" t="s">
        <v>101</v>
      </c>
      <c r="B61" s="369">
        <f>IF(B1&lt;11,0,D29)</f>
        <v>0</v>
      </c>
      <c r="C61" s="382"/>
      <c r="D61" s="371"/>
      <c r="E61" s="378">
        <f>IF(B1&gt;=11,1%,0.55%)</f>
        <v>5.5000000000000005E-3</v>
      </c>
      <c r="F61" s="372">
        <f t="shared" si="2"/>
        <v>0</v>
      </c>
      <c r="G61" s="302"/>
      <c r="H61" s="302"/>
      <c r="I61" s="302"/>
      <c r="J61" s="302"/>
      <c r="K61" s="302"/>
      <c r="L61" s="302"/>
      <c r="M61" s="301"/>
      <c r="N61" s="301"/>
      <c r="O61" s="301"/>
      <c r="P61" s="301"/>
    </row>
    <row r="62" spans="1:16" ht="16.5">
      <c r="A62" s="329" t="s">
        <v>102</v>
      </c>
      <c r="B62" s="386">
        <f>IF(F9="cdd",B2,0)</f>
        <v>0</v>
      </c>
      <c r="C62" s="382"/>
      <c r="D62" s="371"/>
      <c r="E62" s="385">
        <v>0.01</v>
      </c>
      <c r="F62" s="372">
        <f t="shared" si="2"/>
        <v>0</v>
      </c>
      <c r="G62" s="302"/>
      <c r="H62" s="302"/>
      <c r="I62" s="302"/>
      <c r="J62" s="302"/>
      <c r="K62" s="302"/>
      <c r="L62" s="302"/>
      <c r="M62" s="301"/>
      <c r="N62" s="301"/>
      <c r="O62" s="301"/>
      <c r="P62" s="301"/>
    </row>
    <row r="63" spans="1:16" ht="16.5">
      <c r="A63" s="329" t="s">
        <v>103</v>
      </c>
      <c r="B63" s="369">
        <f>B61</f>
        <v>0</v>
      </c>
      <c r="C63" s="382"/>
      <c r="D63" s="371"/>
      <c r="E63" s="378">
        <v>1.6000000000000001E-4</v>
      </c>
      <c r="F63" s="372">
        <f t="shared" si="2"/>
        <v>0</v>
      </c>
      <c r="G63" s="302"/>
      <c r="H63" s="302"/>
      <c r="I63" s="302"/>
      <c r="J63" s="302"/>
      <c r="K63" s="302"/>
      <c r="L63" s="302"/>
      <c r="M63" s="301"/>
      <c r="N63" s="301"/>
      <c r="O63" s="301"/>
      <c r="P63" s="301"/>
    </row>
    <row r="64" spans="1:16" ht="16.5">
      <c r="A64" s="329" t="s">
        <v>104</v>
      </c>
      <c r="B64" s="373">
        <f>IF(B1&lt;50,B8,0)</f>
        <v>1499.4380386892597</v>
      </c>
      <c r="C64" s="382"/>
      <c r="D64" s="371"/>
      <c r="E64" s="378">
        <v>1E-3</v>
      </c>
      <c r="F64" s="372">
        <f t="shared" si="2"/>
        <v>1.4994380386892596</v>
      </c>
      <c r="G64" s="302"/>
      <c r="H64" s="302"/>
      <c r="I64" s="302"/>
      <c r="J64" s="302"/>
      <c r="K64" s="302"/>
      <c r="L64" s="302"/>
      <c r="M64" s="301"/>
      <c r="N64" s="301"/>
      <c r="O64" s="301"/>
      <c r="P64" s="301"/>
    </row>
    <row r="65" spans="1:16" ht="16.5">
      <c r="A65" s="329" t="s">
        <v>105</v>
      </c>
      <c r="B65" s="373">
        <f>IF(B1&gt;=50,B2,0)</f>
        <v>0</v>
      </c>
      <c r="C65" s="382"/>
      <c r="D65" s="371"/>
      <c r="E65" s="378">
        <v>5.0000000000000001E-3</v>
      </c>
      <c r="F65" s="372">
        <f t="shared" si="2"/>
        <v>0</v>
      </c>
      <c r="G65" s="302"/>
      <c r="H65" s="302"/>
      <c r="I65" s="302"/>
      <c r="J65" s="302"/>
      <c r="K65" s="302"/>
      <c r="L65" s="302"/>
      <c r="M65" s="301"/>
      <c r="N65" s="301"/>
      <c r="O65" s="301"/>
      <c r="P65" s="301"/>
    </row>
    <row r="66" spans="1:16" ht="16.5">
      <c r="A66" s="329" t="s">
        <v>106</v>
      </c>
      <c r="B66" s="369">
        <f>D29</f>
        <v>1499.4380386892597</v>
      </c>
      <c r="C66" s="382"/>
      <c r="D66" s="371"/>
      <c r="E66" s="378">
        <v>3.0000000000000001E-3</v>
      </c>
      <c r="F66" s="372">
        <f t="shared" si="2"/>
        <v>4.4983141160677791</v>
      </c>
      <c r="G66" s="302"/>
      <c r="H66" s="302"/>
      <c r="I66" s="302"/>
      <c r="J66" s="302"/>
      <c r="K66" s="302"/>
      <c r="L66" s="302"/>
      <c r="M66" s="301"/>
      <c r="N66" s="301"/>
      <c r="O66" s="301"/>
      <c r="P66" s="301"/>
    </row>
    <row r="67" spans="1:16" ht="16.5">
      <c r="A67" s="329" t="s">
        <v>107</v>
      </c>
      <c r="B67" s="373">
        <f>IF(B1&gt;=11,F36+F37+F85+F86,0)</f>
        <v>0</v>
      </c>
      <c r="C67" s="382"/>
      <c r="D67" s="371"/>
      <c r="E67" s="378">
        <v>0.08</v>
      </c>
      <c r="F67" s="372">
        <f t="shared" si="2"/>
        <v>0</v>
      </c>
      <c r="G67" s="302"/>
      <c r="H67" s="302"/>
      <c r="I67" s="302"/>
      <c r="J67" s="302"/>
      <c r="K67" s="302"/>
      <c r="L67" s="302"/>
      <c r="M67" s="301"/>
      <c r="N67" s="301"/>
      <c r="O67" s="301"/>
      <c r="P67" s="301"/>
    </row>
    <row r="68" spans="1:16" ht="16.5">
      <c r="A68" s="329" t="s">
        <v>108</v>
      </c>
      <c r="B68" s="375"/>
      <c r="C68" s="378"/>
      <c r="D68" s="329"/>
      <c r="E68" s="378">
        <v>0.3</v>
      </c>
      <c r="F68" s="372">
        <f t="shared" si="2"/>
        <v>0</v>
      </c>
      <c r="G68" s="302"/>
      <c r="H68" s="302"/>
      <c r="I68" s="302"/>
      <c r="J68" s="302"/>
      <c r="K68" s="302"/>
      <c r="L68" s="302"/>
      <c r="M68" s="301"/>
      <c r="N68" s="301"/>
      <c r="O68" s="301"/>
      <c r="P68" s="301"/>
    </row>
    <row r="69" spans="1:16" ht="16.5">
      <c r="A69" s="329"/>
      <c r="B69" s="332"/>
      <c r="C69" s="378"/>
      <c r="D69" s="329"/>
      <c r="E69" s="378"/>
      <c r="F69" s="329"/>
      <c r="G69" s="302"/>
      <c r="H69" s="302"/>
      <c r="I69" s="302"/>
      <c r="J69" s="302"/>
      <c r="K69" s="302"/>
      <c r="L69" s="302"/>
      <c r="M69" s="301"/>
      <c r="N69" s="301"/>
      <c r="O69" s="301"/>
      <c r="P69" s="301"/>
    </row>
    <row r="70" spans="1:16" ht="16.5">
      <c r="A70" s="367" t="s">
        <v>109</v>
      </c>
      <c r="B70" s="332" t="s">
        <v>110</v>
      </c>
      <c r="C70" s="378"/>
      <c r="D70" s="329"/>
      <c r="E70" s="387"/>
      <c r="F70" s="329"/>
      <c r="G70" s="302"/>
      <c r="H70" s="302"/>
      <c r="I70" s="302"/>
      <c r="J70" s="302"/>
      <c r="K70" s="302"/>
      <c r="L70" s="302"/>
      <c r="M70" s="301"/>
      <c r="N70" s="301"/>
      <c r="O70" s="301"/>
      <c r="P70" s="301"/>
    </row>
    <row r="71" spans="1:16" ht="16.5">
      <c r="A71" s="367"/>
      <c r="B71" s="332"/>
      <c r="C71" s="378"/>
      <c r="D71" s="329"/>
      <c r="E71" s="387"/>
      <c r="F71" s="329"/>
      <c r="G71" s="302"/>
      <c r="H71" s="302"/>
      <c r="I71" s="302"/>
      <c r="J71" s="302"/>
      <c r="K71" s="302"/>
      <c r="L71" s="302"/>
      <c r="M71" s="301"/>
      <c r="N71" s="301"/>
      <c r="O71" s="301"/>
      <c r="P71" s="301"/>
    </row>
    <row r="72" spans="1:16" ht="16.5">
      <c r="A72" s="367" t="s">
        <v>111</v>
      </c>
      <c r="B72" s="369">
        <v>0</v>
      </c>
      <c r="C72" s="378">
        <v>6.8000000000000005E-2</v>
      </c>
      <c r="D72" s="372">
        <f>B72*C72</f>
        <v>0</v>
      </c>
      <c r="E72" s="384"/>
      <c r="F72" s="371"/>
      <c r="G72" s="302"/>
      <c r="H72" s="302"/>
      <c r="I72" s="302"/>
      <c r="J72" s="302"/>
      <c r="K72" s="302"/>
      <c r="L72" s="302"/>
      <c r="M72" s="301"/>
      <c r="N72" s="301"/>
      <c r="O72" s="301"/>
      <c r="P72" s="301"/>
    </row>
    <row r="73" spans="1:16" ht="16.5">
      <c r="A73" s="367" t="s">
        <v>112</v>
      </c>
      <c r="B73" s="369">
        <f>B72</f>
        <v>0</v>
      </c>
      <c r="C73" s="378">
        <v>2.9000000000000001E-2</v>
      </c>
      <c r="D73" s="372">
        <f>B73*C73</f>
        <v>0</v>
      </c>
      <c r="E73" s="384"/>
      <c r="F73" s="371"/>
      <c r="G73" s="302"/>
      <c r="H73" s="302"/>
      <c r="I73" s="302"/>
      <c r="J73" s="302"/>
      <c r="K73" s="302"/>
      <c r="L73" s="302"/>
      <c r="M73" s="301"/>
      <c r="N73" s="301"/>
      <c r="O73" s="301"/>
      <c r="P73" s="301"/>
    </row>
    <row r="74" spans="1:16" ht="16.5">
      <c r="A74" s="367" t="s">
        <v>113</v>
      </c>
      <c r="B74" s="369">
        <v>0</v>
      </c>
      <c r="C74" s="378">
        <v>9.7000000000000003E-2</v>
      </c>
      <c r="D74" s="372">
        <f>B74*C74</f>
        <v>0</v>
      </c>
      <c r="E74" s="384"/>
      <c r="F74" s="371"/>
      <c r="G74" s="302"/>
      <c r="H74" s="302"/>
      <c r="I74" s="302"/>
      <c r="J74" s="302"/>
      <c r="K74" s="302"/>
      <c r="L74" s="302"/>
      <c r="M74" s="301"/>
      <c r="N74" s="301"/>
      <c r="O74" s="301"/>
      <c r="P74" s="301"/>
    </row>
    <row r="75" spans="1:16" ht="16.5">
      <c r="A75" s="367" t="s">
        <v>114</v>
      </c>
      <c r="B75" s="332"/>
      <c r="C75" s="378">
        <v>9.7000000000000003E-2</v>
      </c>
      <c r="D75" s="372">
        <f>+B75*C75</f>
        <v>0</v>
      </c>
      <c r="E75" s="384"/>
      <c r="F75" s="371"/>
      <c r="G75" s="302"/>
      <c r="H75" s="302"/>
      <c r="I75" s="302"/>
      <c r="J75" s="302"/>
      <c r="K75" s="302"/>
      <c r="L75" s="302"/>
      <c r="M75" s="301"/>
      <c r="N75" s="301"/>
      <c r="O75" s="301"/>
      <c r="P75" s="301"/>
    </row>
    <row r="76" spans="1:16" ht="16.5">
      <c r="A76" s="367"/>
      <c r="B76" s="332"/>
      <c r="C76" s="378"/>
      <c r="D76" s="329"/>
      <c r="E76" s="387"/>
      <c r="F76" s="329"/>
      <c r="G76" s="302"/>
      <c r="H76" s="302"/>
      <c r="I76" s="302"/>
      <c r="J76" s="302"/>
      <c r="K76" s="302"/>
      <c r="L76" s="302"/>
      <c r="M76" s="301"/>
      <c r="N76" s="301"/>
      <c r="O76" s="301"/>
      <c r="P76" s="301"/>
    </row>
    <row r="77" spans="1:16" ht="16.5">
      <c r="A77" s="559" t="s">
        <v>115</v>
      </c>
      <c r="B77" s="559"/>
      <c r="C77" s="559"/>
      <c r="D77" s="388">
        <f>SUM(D36:D75)</f>
        <v>11.71073520625529</v>
      </c>
      <c r="E77" s="389"/>
      <c r="F77" s="388">
        <f>SUM(F33:F74)</f>
        <v>511.7582026046444</v>
      </c>
      <c r="G77" s="302"/>
      <c r="H77" s="302"/>
      <c r="I77" s="302"/>
      <c r="J77" s="302"/>
      <c r="K77" s="302"/>
      <c r="L77" s="302"/>
      <c r="M77" s="301"/>
      <c r="N77" s="301"/>
      <c r="O77" s="301"/>
      <c r="P77" s="301"/>
    </row>
    <row r="78" spans="1:16" ht="16.5">
      <c r="A78" s="329"/>
      <c r="B78" s="329"/>
      <c r="C78" s="329"/>
      <c r="D78" s="329"/>
      <c r="E78" s="329"/>
      <c r="F78" s="329"/>
      <c r="G78" s="302"/>
      <c r="H78" s="302"/>
      <c r="I78" s="302"/>
      <c r="J78" s="302"/>
      <c r="K78" s="302"/>
      <c r="L78" s="302"/>
      <c r="M78" s="301"/>
      <c r="N78" s="301"/>
      <c r="O78" s="301"/>
      <c r="P78" s="301"/>
    </row>
    <row r="79" spans="1:16" ht="16.5">
      <c r="A79" s="560" t="s">
        <v>116</v>
      </c>
      <c r="B79" s="560"/>
      <c r="C79" s="560"/>
      <c r="D79" s="560"/>
      <c r="E79" s="560"/>
      <c r="F79" s="560"/>
      <c r="G79" s="302"/>
      <c r="H79" s="302"/>
      <c r="I79" s="302"/>
      <c r="J79" s="302"/>
      <c r="K79" s="302"/>
      <c r="L79" s="302"/>
      <c r="M79" s="301"/>
      <c r="N79" s="301"/>
      <c r="O79" s="301"/>
      <c r="P79" s="301"/>
    </row>
    <row r="80" spans="1:16" ht="16.5">
      <c r="A80" s="329" t="s">
        <v>117</v>
      </c>
      <c r="B80" s="390">
        <f>D22+D23</f>
        <v>103.53963868925959</v>
      </c>
      <c r="C80" s="391">
        <v>0.11310000000000001</v>
      </c>
      <c r="D80" s="392">
        <f>-B80*C80</f>
        <v>-11.71033313575526</v>
      </c>
      <c r="E80" s="371"/>
      <c r="F80" s="371"/>
      <c r="G80" s="393"/>
      <c r="H80" s="302"/>
      <c r="I80" s="302"/>
      <c r="J80" s="302"/>
      <c r="K80" s="302"/>
      <c r="L80" s="302"/>
      <c r="M80" s="301"/>
      <c r="N80" s="301"/>
      <c r="O80" s="301"/>
      <c r="P80" s="301"/>
    </row>
    <row r="81" spans="1:16" ht="16.5">
      <c r="A81" s="329" t="s">
        <v>118</v>
      </c>
      <c r="B81" s="329">
        <f>B22+B23</f>
        <v>9</v>
      </c>
      <c r="C81" s="329"/>
      <c r="D81" s="329"/>
      <c r="E81" s="329">
        <f>IF(B1&lt;20,1.5,IF(AND(B1&gt;=20,B1&lt;250),0.5,0))</f>
        <v>1.5</v>
      </c>
      <c r="F81" s="329">
        <f>-B81*E81</f>
        <v>-13.5</v>
      </c>
      <c r="G81" s="302"/>
      <c r="H81" s="302"/>
      <c r="I81" s="302"/>
      <c r="J81" s="302"/>
      <c r="K81" s="302"/>
      <c r="L81" s="302"/>
      <c r="M81" s="301"/>
      <c r="N81" s="301"/>
      <c r="O81" s="301"/>
      <c r="P81" s="301"/>
    </row>
    <row r="82" spans="1:16" ht="16.5">
      <c r="A82" s="329" t="s">
        <v>119</v>
      </c>
      <c r="B82" s="371"/>
      <c r="C82" s="371"/>
      <c r="D82" s="371"/>
      <c r="E82" s="329"/>
      <c r="F82" s="394"/>
      <c r="G82" s="302"/>
      <c r="H82" s="302"/>
      <c r="I82" s="302"/>
      <c r="J82" s="302"/>
      <c r="K82" s="302"/>
      <c r="L82" s="302"/>
      <c r="M82" s="301"/>
      <c r="N82" s="301"/>
      <c r="O82" s="301"/>
      <c r="P82" s="301"/>
    </row>
    <row r="83" spans="1:16" ht="16.5">
      <c r="A83" s="351"/>
      <c r="B83" s="351"/>
      <c r="C83" s="351"/>
      <c r="D83" s="351"/>
      <c r="E83" s="351"/>
      <c r="F83" s="351"/>
      <c r="G83" s="302"/>
      <c r="H83" s="302"/>
      <c r="I83" s="302"/>
      <c r="J83" s="302"/>
      <c r="K83" s="302"/>
      <c r="L83" s="302"/>
      <c r="M83" s="301"/>
      <c r="N83" s="301"/>
      <c r="O83" s="301"/>
      <c r="P83" s="301"/>
    </row>
    <row r="84" spans="1:16" ht="16.5">
      <c r="A84" s="395" t="s">
        <v>120</v>
      </c>
      <c r="B84" s="396" t="s">
        <v>58</v>
      </c>
      <c r="C84" s="396" t="s">
        <v>59</v>
      </c>
      <c r="D84" s="396" t="s">
        <v>73</v>
      </c>
      <c r="E84" s="396" t="s">
        <v>59</v>
      </c>
      <c r="F84" s="397" t="s">
        <v>73</v>
      </c>
      <c r="G84" s="302"/>
      <c r="H84" s="302"/>
      <c r="I84" s="302"/>
      <c r="J84" s="302"/>
      <c r="K84" s="302"/>
      <c r="L84" s="302"/>
      <c r="M84" s="301"/>
      <c r="N84" s="301"/>
      <c r="O84" s="301"/>
      <c r="P84" s="301"/>
    </row>
    <row r="85" spans="1:16" ht="16.5">
      <c r="A85" s="398" t="s">
        <v>121</v>
      </c>
      <c r="B85" s="399">
        <v>0</v>
      </c>
      <c r="C85" s="400">
        <v>0</v>
      </c>
      <c r="D85" s="401">
        <f>B85*C85</f>
        <v>0</v>
      </c>
      <c r="E85" s="400">
        <v>0</v>
      </c>
      <c r="F85" s="401">
        <f>B85*E85</f>
        <v>0</v>
      </c>
      <c r="G85" s="302"/>
      <c r="H85" s="302"/>
      <c r="I85" s="302"/>
      <c r="J85" s="302"/>
      <c r="K85" s="302"/>
      <c r="L85" s="302"/>
      <c r="M85" s="301"/>
      <c r="N85" s="301"/>
      <c r="O85" s="301"/>
      <c r="P85" s="301"/>
    </row>
    <row r="86" spans="1:16" ht="16.5">
      <c r="A86" s="398" t="s">
        <v>122</v>
      </c>
      <c r="B86" s="402">
        <v>0</v>
      </c>
      <c r="C86" s="403">
        <v>0</v>
      </c>
      <c r="D86" s="372">
        <f>B86*C86</f>
        <v>0</v>
      </c>
      <c r="E86" s="403">
        <v>0</v>
      </c>
      <c r="F86" s="372">
        <f>B86*E86</f>
        <v>0</v>
      </c>
      <c r="G86" s="302"/>
      <c r="H86" s="302"/>
      <c r="I86" s="302"/>
      <c r="J86" s="302"/>
      <c r="K86" s="302"/>
      <c r="L86" s="302"/>
      <c r="M86" s="301"/>
      <c r="N86" s="301"/>
      <c r="O86" s="301"/>
      <c r="P86" s="301"/>
    </row>
    <row r="87" spans="1:16" ht="16.5">
      <c r="A87" s="398" t="s">
        <v>123</v>
      </c>
      <c r="B87" s="394"/>
      <c r="C87" s="403">
        <v>0</v>
      </c>
      <c r="D87" s="372">
        <f>B87*C87</f>
        <v>0</v>
      </c>
      <c r="E87" s="403">
        <v>0</v>
      </c>
      <c r="F87" s="372">
        <f>B87*E87</f>
        <v>0</v>
      </c>
      <c r="G87" s="302"/>
      <c r="H87" s="302"/>
      <c r="I87" s="302"/>
      <c r="J87" s="302"/>
      <c r="K87" s="302"/>
      <c r="L87" s="302"/>
      <c r="M87" s="301"/>
      <c r="N87" s="301"/>
      <c r="O87" s="301"/>
      <c r="P87" s="301"/>
    </row>
    <row r="88" spans="1:16" ht="16.5">
      <c r="A88" s="323" t="s">
        <v>124</v>
      </c>
      <c r="B88" s="394"/>
      <c r="C88" s="403">
        <v>0</v>
      </c>
      <c r="D88" s="372">
        <f>B88*C88</f>
        <v>0</v>
      </c>
      <c r="E88" s="403">
        <v>0</v>
      </c>
      <c r="F88" s="372">
        <f>B88*E88</f>
        <v>0</v>
      </c>
      <c r="G88" s="302"/>
      <c r="H88" s="302"/>
      <c r="I88" s="302"/>
      <c r="J88" s="302"/>
      <c r="K88" s="302"/>
      <c r="L88" s="302"/>
      <c r="M88" s="301"/>
      <c r="N88" s="301"/>
      <c r="O88" s="301"/>
      <c r="P88" s="301"/>
    </row>
    <row r="89" spans="1:16" ht="16.5">
      <c r="A89" s="323"/>
      <c r="B89" s="351"/>
      <c r="C89" s="351"/>
      <c r="D89" s="351"/>
      <c r="E89" s="351"/>
      <c r="F89" s="351"/>
      <c r="G89" s="302"/>
      <c r="H89" s="302"/>
      <c r="I89" s="302"/>
      <c r="J89" s="302"/>
      <c r="K89" s="302"/>
      <c r="L89" s="302"/>
      <c r="M89" s="301"/>
      <c r="N89" s="301"/>
      <c r="O89" s="301"/>
      <c r="P89" s="301"/>
    </row>
    <row r="90" spans="1:16" ht="16.5">
      <c r="A90" s="404" t="s">
        <v>125</v>
      </c>
      <c r="B90" s="389"/>
      <c r="C90" s="389"/>
      <c r="D90" s="388">
        <f>D29-D77+D80+D95-D85-D86-D87-D88</f>
        <v>1476.0169703472491</v>
      </c>
      <c r="E90" s="389"/>
      <c r="F90" s="389"/>
      <c r="G90" s="302"/>
      <c r="H90" s="302"/>
      <c r="I90" s="302"/>
      <c r="J90" s="302"/>
      <c r="K90" s="302"/>
      <c r="L90" s="302"/>
      <c r="M90" s="301"/>
      <c r="N90" s="301"/>
      <c r="O90" s="301"/>
      <c r="P90" s="301"/>
    </row>
    <row r="91" spans="1:16" ht="16.5">
      <c r="A91" s="398"/>
      <c r="B91" s="329"/>
      <c r="C91" s="329"/>
      <c r="D91" s="329"/>
      <c r="E91" s="329"/>
      <c r="F91" s="329"/>
      <c r="G91" s="302"/>
      <c r="H91" s="302"/>
      <c r="I91" s="302"/>
      <c r="J91" s="302"/>
      <c r="K91" s="302"/>
      <c r="L91" s="302"/>
      <c r="M91" s="301"/>
      <c r="N91" s="301"/>
      <c r="O91" s="301"/>
      <c r="P91" s="301"/>
    </row>
    <row r="92" spans="1:16" ht="16.5">
      <c r="A92" s="405" t="s">
        <v>126</v>
      </c>
      <c r="B92" s="389"/>
      <c r="C92" s="389"/>
      <c r="D92" s="389"/>
      <c r="E92" s="389"/>
      <c r="F92" s="389"/>
      <c r="G92" s="302"/>
      <c r="H92" s="302"/>
      <c r="I92" s="302"/>
      <c r="J92" s="302"/>
      <c r="K92" s="302"/>
      <c r="L92" s="302"/>
      <c r="M92" s="301"/>
      <c r="N92" s="301"/>
      <c r="O92" s="301"/>
      <c r="P92" s="301"/>
    </row>
    <row r="93" spans="1:16" ht="16.5">
      <c r="A93" s="398" t="s">
        <v>127</v>
      </c>
      <c r="B93" s="406"/>
      <c r="C93" s="406"/>
      <c r="D93" s="406"/>
      <c r="E93" s="406"/>
      <c r="F93" s="406"/>
      <c r="G93" s="302"/>
      <c r="H93" s="302"/>
      <c r="I93" s="302"/>
      <c r="J93" s="302"/>
      <c r="K93" s="302"/>
      <c r="L93" s="302"/>
      <c r="M93" s="301"/>
      <c r="N93" s="301"/>
      <c r="O93" s="301"/>
      <c r="P93" s="301"/>
    </row>
    <row r="94" spans="1:16" ht="16.5">
      <c r="A94" s="398" t="s">
        <v>128</v>
      </c>
      <c r="B94" s="332"/>
      <c r="C94" s="332"/>
      <c r="D94" s="332"/>
      <c r="E94" s="332"/>
      <c r="F94" s="332"/>
      <c r="G94" s="302"/>
      <c r="H94" s="302"/>
      <c r="I94" s="302"/>
      <c r="J94" s="302"/>
      <c r="K94" s="302"/>
      <c r="L94" s="302"/>
      <c r="M94" s="301"/>
      <c r="N94" s="301"/>
      <c r="O94" s="301"/>
      <c r="P94" s="301"/>
    </row>
    <row r="95" spans="1:16" ht="16.5">
      <c r="A95" s="398" t="s">
        <v>129</v>
      </c>
      <c r="B95" s="332">
        <f>C25*0.933</f>
        <v>0</v>
      </c>
      <c r="C95" s="332">
        <v>0</v>
      </c>
      <c r="D95" s="332">
        <f>B95*C95</f>
        <v>0</v>
      </c>
      <c r="E95" s="332"/>
      <c r="F95" s="332"/>
      <c r="G95" s="302"/>
      <c r="H95" s="302"/>
      <c r="I95" s="302"/>
      <c r="J95" s="302"/>
      <c r="K95" s="302"/>
      <c r="L95" s="302"/>
      <c r="M95" s="301"/>
      <c r="N95" s="301"/>
      <c r="O95" s="301"/>
      <c r="P95" s="301"/>
    </row>
    <row r="96" spans="1:16" ht="16.5">
      <c r="A96" s="398" t="s">
        <v>130</v>
      </c>
      <c r="B96" s="332"/>
      <c r="C96" s="332"/>
      <c r="D96" s="332"/>
      <c r="E96" s="332"/>
      <c r="F96" s="332"/>
      <c r="G96" s="302"/>
      <c r="H96" s="302"/>
      <c r="I96" s="302"/>
      <c r="J96" s="302"/>
      <c r="K96" s="302"/>
      <c r="L96" s="302"/>
      <c r="M96" s="301"/>
      <c r="N96" s="301"/>
      <c r="O96" s="301"/>
      <c r="P96" s="301"/>
    </row>
    <row r="97" spans="1:16" ht="16.5">
      <c r="A97" s="398" t="s">
        <v>131</v>
      </c>
      <c r="B97" s="332"/>
      <c r="C97" s="332"/>
      <c r="D97" s="332"/>
      <c r="E97" s="332"/>
      <c r="F97" s="332"/>
      <c r="G97" s="302"/>
      <c r="H97" s="302"/>
      <c r="I97" s="302"/>
      <c r="J97" s="302"/>
      <c r="K97" s="302"/>
      <c r="L97" s="302"/>
      <c r="M97" s="301"/>
      <c r="N97" s="301"/>
      <c r="O97" s="301"/>
      <c r="P97" s="301"/>
    </row>
    <row r="98" spans="1:16" ht="16.5">
      <c r="A98" s="398" t="s">
        <v>132</v>
      </c>
      <c r="B98" s="332"/>
      <c r="C98" s="332"/>
      <c r="D98" s="332"/>
      <c r="E98" s="332"/>
      <c r="F98" s="332"/>
      <c r="G98" s="302"/>
      <c r="H98" s="302" t="s">
        <v>295</v>
      </c>
      <c r="I98" s="302"/>
      <c r="J98" s="302"/>
      <c r="K98" s="302"/>
      <c r="L98" s="302"/>
      <c r="M98" s="301"/>
      <c r="N98" s="301"/>
      <c r="O98" s="301"/>
      <c r="P98" s="301"/>
    </row>
    <row r="99" spans="1:16" ht="16.5">
      <c r="A99" s="398" t="s">
        <v>133</v>
      </c>
      <c r="B99" s="332"/>
      <c r="C99" s="332"/>
      <c r="D99" s="332"/>
      <c r="E99" s="332"/>
      <c r="F99" s="332"/>
      <c r="G99" s="302"/>
      <c r="H99" s="302" t="s">
        <v>296</v>
      </c>
      <c r="I99" s="302"/>
      <c r="J99" s="302"/>
      <c r="K99" s="302"/>
      <c r="L99" s="302"/>
      <c r="M99" s="301"/>
      <c r="N99" s="301"/>
      <c r="O99" s="301"/>
      <c r="P99" s="301"/>
    </row>
    <row r="100" spans="1:16" ht="16.5">
      <c r="A100" s="398" t="s">
        <v>134</v>
      </c>
      <c r="B100" s="332"/>
      <c r="C100" s="332"/>
      <c r="D100" s="332"/>
      <c r="E100" s="332"/>
      <c r="F100" s="332"/>
      <c r="G100" s="302"/>
      <c r="H100" s="334"/>
      <c r="I100" s="302"/>
      <c r="J100" s="302"/>
      <c r="K100" s="302"/>
      <c r="L100" s="302"/>
      <c r="M100" s="301"/>
      <c r="N100" s="301"/>
      <c r="O100" s="301"/>
      <c r="P100" s="301"/>
    </row>
    <row r="101" spans="1:16" ht="16.5">
      <c r="A101" s="398" t="s">
        <v>135</v>
      </c>
      <c r="B101" s="332"/>
      <c r="C101" s="332"/>
      <c r="D101" s="332"/>
      <c r="E101" s="332"/>
      <c r="F101" s="332"/>
      <c r="G101" s="302"/>
      <c r="H101" s="302"/>
      <c r="I101" s="302"/>
      <c r="J101" s="302"/>
      <c r="K101" s="302"/>
      <c r="L101" s="302"/>
      <c r="M101" s="301"/>
      <c r="N101" s="301"/>
      <c r="O101" s="301"/>
      <c r="P101" s="301"/>
    </row>
    <row r="102" spans="1:16" ht="16.5">
      <c r="A102" s="398" t="s">
        <v>136</v>
      </c>
      <c r="B102" s="407"/>
      <c r="C102" s="407"/>
      <c r="D102" s="407"/>
      <c r="E102" s="407"/>
      <c r="F102" s="407"/>
      <c r="G102" s="302"/>
      <c r="H102" s="302"/>
      <c r="I102" s="302"/>
      <c r="J102" s="302"/>
      <c r="K102" s="302"/>
      <c r="L102" s="302"/>
      <c r="M102" s="301"/>
      <c r="N102" s="301"/>
      <c r="O102" s="301"/>
      <c r="P102" s="301"/>
    </row>
    <row r="103" spans="1:16" ht="16.5">
      <c r="A103" s="404" t="s">
        <v>137</v>
      </c>
      <c r="B103" s="389"/>
      <c r="C103" s="389"/>
      <c r="D103" s="388">
        <f>D29-D77-D80-D85-D86-D87-D88+SUM(D93:D102)</f>
        <v>1499.4376366187596</v>
      </c>
      <c r="E103" s="389"/>
      <c r="F103" s="389"/>
      <c r="G103" s="302"/>
      <c r="H103" s="302"/>
      <c r="I103" s="302"/>
      <c r="J103" s="302"/>
      <c r="K103" s="302"/>
      <c r="L103" s="302"/>
      <c r="M103" s="301"/>
      <c r="N103" s="301"/>
      <c r="O103" s="301"/>
      <c r="P103" s="301"/>
    </row>
    <row r="104" spans="1:16" ht="16.5">
      <c r="A104" s="323"/>
      <c r="B104" s="351"/>
      <c r="C104" s="351"/>
      <c r="D104" s="351"/>
      <c r="E104" s="351"/>
      <c r="F104" s="351"/>
      <c r="G104" s="302"/>
      <c r="H104" s="302"/>
      <c r="I104" s="302"/>
      <c r="J104" s="302"/>
      <c r="K104" s="302"/>
      <c r="L104" s="302"/>
      <c r="M104" s="301"/>
      <c r="N104" s="301"/>
      <c r="O104" s="301"/>
      <c r="P104" s="301"/>
    </row>
    <row r="105" spans="1:16" ht="16.5">
      <c r="A105" s="404" t="s">
        <v>138</v>
      </c>
      <c r="B105" s="408" t="s">
        <v>58</v>
      </c>
      <c r="C105" s="408" t="s">
        <v>59</v>
      </c>
      <c r="D105" s="408" t="s">
        <v>73</v>
      </c>
      <c r="E105" s="561" t="s">
        <v>139</v>
      </c>
      <c r="F105" s="561"/>
      <c r="G105" s="302"/>
      <c r="H105" s="302"/>
      <c r="I105" s="302"/>
      <c r="J105" s="302"/>
      <c r="K105" s="302"/>
      <c r="L105" s="302"/>
      <c r="M105" s="301"/>
      <c r="N105" s="301"/>
      <c r="O105" s="301"/>
      <c r="P105" s="301"/>
    </row>
    <row r="106" spans="1:16" ht="16.5">
      <c r="A106" s="409" t="s">
        <v>140</v>
      </c>
      <c r="B106" s="409"/>
      <c r="C106" s="409"/>
      <c r="D106" s="401">
        <f>D29-B10-D77-D80-D85-D86-D87-D88+D73+D74+F36</f>
        <v>1395.8979979295</v>
      </c>
      <c r="E106" s="562"/>
      <c r="F106" s="562"/>
      <c r="G106" s="302"/>
      <c r="H106" s="302"/>
      <c r="I106" s="302"/>
      <c r="J106" s="302"/>
      <c r="K106" s="302"/>
      <c r="L106" s="302"/>
      <c r="M106" s="301"/>
      <c r="N106" s="301"/>
      <c r="O106" s="301"/>
      <c r="P106" s="301"/>
    </row>
    <row r="107" spans="1:16" ht="16.5">
      <c r="A107" s="329" t="s">
        <v>141</v>
      </c>
      <c r="B107" s="374">
        <f>(D22+D23+D21)*0.9825</f>
        <v>101.72769501219756</v>
      </c>
      <c r="C107" s="387">
        <v>6.8000000000000005E-2</v>
      </c>
      <c r="D107" s="372">
        <f>B80*(1-C107)</f>
        <v>96.498943258389929</v>
      </c>
      <c r="E107" s="556"/>
      <c r="F107" s="556"/>
      <c r="G107" s="302"/>
      <c r="H107" s="302"/>
      <c r="I107" s="302"/>
      <c r="J107" s="302"/>
      <c r="K107" s="302"/>
      <c r="L107" s="302"/>
      <c r="M107" s="301"/>
      <c r="N107" s="301"/>
      <c r="O107" s="301"/>
      <c r="P107" s="301"/>
    </row>
    <row r="108" spans="1:16" ht="16.5">
      <c r="A108" s="410" t="s">
        <v>142</v>
      </c>
      <c r="B108" s="411" t="s">
        <v>58</v>
      </c>
      <c r="C108" s="411" t="s">
        <v>59</v>
      </c>
      <c r="D108" s="411" t="s">
        <v>73</v>
      </c>
      <c r="E108" s="555" t="s">
        <v>139</v>
      </c>
      <c r="F108" s="555"/>
      <c r="G108" s="302"/>
      <c r="H108" s="302"/>
      <c r="I108" s="302"/>
      <c r="J108" s="302"/>
      <c r="K108" s="302"/>
      <c r="L108" s="302"/>
      <c r="M108" s="301"/>
      <c r="N108" s="301"/>
      <c r="O108" s="301"/>
      <c r="P108" s="301"/>
    </row>
    <row r="109" spans="1:16" ht="16.5">
      <c r="A109" s="329" t="s">
        <v>143</v>
      </c>
      <c r="B109" s="372">
        <f>D106+(B25*C25*0.962)</f>
        <v>1395.8979979295</v>
      </c>
      <c r="C109" s="387">
        <v>0</v>
      </c>
      <c r="D109" s="372">
        <f>B109*C109</f>
        <v>0</v>
      </c>
      <c r="E109" s="556"/>
      <c r="F109" s="556"/>
      <c r="G109" s="302"/>
      <c r="H109" s="302"/>
      <c r="I109" s="302"/>
      <c r="J109" s="302"/>
      <c r="K109" s="302"/>
      <c r="L109" s="302"/>
      <c r="M109" s="301"/>
      <c r="N109" s="301"/>
      <c r="O109" s="301"/>
      <c r="P109" s="301"/>
    </row>
    <row r="110" spans="1:16" ht="16.5">
      <c r="A110" s="412"/>
      <c r="B110" s="412"/>
      <c r="C110" s="412"/>
      <c r="D110" s="412"/>
      <c r="E110" s="557"/>
      <c r="F110" s="557"/>
      <c r="G110" s="302"/>
      <c r="H110" s="393"/>
      <c r="I110" s="302"/>
    </row>
    <row r="111" spans="1:16" ht="16.5">
      <c r="A111" s="410" t="s">
        <v>144</v>
      </c>
      <c r="B111" s="554"/>
      <c r="C111" s="554"/>
      <c r="D111" s="413">
        <f>D103-D109</f>
        <v>1499.4376366187596</v>
      </c>
      <c r="E111" s="554"/>
      <c r="F111" s="554"/>
      <c r="G111" s="302"/>
      <c r="H111" s="302"/>
      <c r="I111" s="302"/>
    </row>
    <row r="112" spans="1:16" ht="16.5">
      <c r="A112" s="412"/>
      <c r="B112" s="557"/>
      <c r="C112" s="557"/>
      <c r="D112" s="557"/>
      <c r="E112" s="557"/>
      <c r="F112" s="557"/>
      <c r="G112" s="302"/>
      <c r="H112" s="302"/>
      <c r="I112" s="302"/>
    </row>
    <row r="113" spans="1:9" ht="16.5">
      <c r="A113" s="410" t="s">
        <v>145</v>
      </c>
      <c r="B113" s="554"/>
      <c r="C113" s="554"/>
      <c r="D113" s="554"/>
      <c r="E113" s="554"/>
      <c r="F113" s="414">
        <f>D29+F77+F85+F86+F87+F88+F81+F82</f>
        <v>1997.696241293904</v>
      </c>
      <c r="G113" s="302"/>
      <c r="H113" s="302"/>
      <c r="I113" s="302"/>
    </row>
    <row r="114" spans="1:9" ht="15">
      <c r="A114" s="302"/>
      <c r="B114" s="302"/>
      <c r="C114" s="302"/>
      <c r="D114" s="302"/>
      <c r="E114" s="302"/>
      <c r="F114" s="302"/>
      <c r="G114" s="302"/>
      <c r="H114" s="302"/>
      <c r="I114" s="393"/>
    </row>
    <row r="115" spans="1:9" ht="15">
      <c r="A115" s="302"/>
      <c r="B115" s="302"/>
      <c r="C115" s="302"/>
      <c r="D115" s="302"/>
      <c r="E115" s="302"/>
      <c r="F115" s="302"/>
      <c r="G115" s="302"/>
      <c r="H115" s="302"/>
      <c r="I115" s="302"/>
    </row>
    <row r="116" spans="1:9" ht="15">
      <c r="A116" s="302"/>
      <c r="B116" s="302"/>
      <c r="C116" s="302"/>
      <c r="D116" s="302"/>
      <c r="E116" s="302"/>
      <c r="F116" s="302"/>
      <c r="G116" s="415"/>
      <c r="H116" s="302"/>
      <c r="I116" s="302"/>
    </row>
    <row r="117" spans="1:9" ht="15">
      <c r="A117" s="302"/>
      <c r="B117" s="302"/>
      <c r="C117" s="302"/>
      <c r="D117" s="302"/>
      <c r="E117" s="302"/>
      <c r="F117" s="302"/>
      <c r="G117" s="302"/>
      <c r="H117" s="415"/>
      <c r="I117" s="302"/>
    </row>
    <row r="118" spans="1:9" ht="15">
      <c r="A118" s="302"/>
      <c r="B118" s="302"/>
      <c r="C118" s="302"/>
      <c r="D118" s="302"/>
      <c r="E118" s="302"/>
      <c r="F118" s="302"/>
      <c r="G118" s="302"/>
      <c r="H118" s="302"/>
      <c r="I118" s="302"/>
    </row>
    <row r="119" spans="1:9" ht="15">
      <c r="A119" s="302"/>
      <c r="B119" s="302"/>
      <c r="C119" s="302"/>
      <c r="D119" s="302"/>
      <c r="E119" s="302"/>
      <c r="F119" s="302"/>
      <c r="G119" s="302"/>
      <c r="H119" s="302"/>
      <c r="I119" s="302"/>
    </row>
    <row r="120" spans="1:9" ht="15">
      <c r="G120" s="302"/>
      <c r="H120" s="302"/>
      <c r="I120" s="302"/>
    </row>
    <row r="121" spans="1:9" ht="15">
      <c r="G121" s="302"/>
      <c r="H121" s="302"/>
      <c r="I121" s="302"/>
    </row>
    <row r="122" spans="1:9" ht="15">
      <c r="G122" s="302"/>
      <c r="H122" s="302"/>
      <c r="I122" s="302"/>
    </row>
  </sheetData>
  <mergeCells count="52">
    <mergeCell ref="J5:P5"/>
    <mergeCell ref="D1:E1"/>
    <mergeCell ref="D2:E2"/>
    <mergeCell ref="D3:E3"/>
    <mergeCell ref="D4:E4"/>
    <mergeCell ref="D5:E5"/>
    <mergeCell ref="D6:E6"/>
    <mergeCell ref="D7:E7"/>
    <mergeCell ref="D8:E8"/>
    <mergeCell ref="D9:E9"/>
    <mergeCell ref="D10:E10"/>
    <mergeCell ref="D21:F21"/>
    <mergeCell ref="M10:M11"/>
    <mergeCell ref="J12:J13"/>
    <mergeCell ref="K12:K13"/>
    <mergeCell ref="J14:J15"/>
    <mergeCell ref="K14:K15"/>
    <mergeCell ref="D15:F15"/>
    <mergeCell ref="J10:J11"/>
    <mergeCell ref="D16:F16"/>
    <mergeCell ref="D17:F17"/>
    <mergeCell ref="D18:F18"/>
    <mergeCell ref="D19:F19"/>
    <mergeCell ref="D20:F20"/>
    <mergeCell ref="J25:K30"/>
    <mergeCell ref="D26:F26"/>
    <mergeCell ref="D27:F27"/>
    <mergeCell ref="D28:F28"/>
    <mergeCell ref="D29:F29"/>
    <mergeCell ref="G44:G45"/>
    <mergeCell ref="G46:G47"/>
    <mergeCell ref="D22:F22"/>
    <mergeCell ref="D23:F23"/>
    <mergeCell ref="D24:F24"/>
    <mergeCell ref="D25:F25"/>
    <mergeCell ref="E107:F107"/>
    <mergeCell ref="A30:A31"/>
    <mergeCell ref="B30:B31"/>
    <mergeCell ref="C30:D30"/>
    <mergeCell ref="E30:F30"/>
    <mergeCell ref="G56:G57"/>
    <mergeCell ref="A77:C77"/>
    <mergeCell ref="A79:F79"/>
    <mergeCell ref="E105:F105"/>
    <mergeCell ref="E106:F106"/>
    <mergeCell ref="B113:E113"/>
    <mergeCell ref="E108:F108"/>
    <mergeCell ref="E109:F109"/>
    <mergeCell ref="E110:F110"/>
    <mergeCell ref="B111:C111"/>
    <mergeCell ref="E111:F111"/>
    <mergeCell ref="B112:F112"/>
  </mergeCells>
  <pageMargins left="0" right="0" top="0.39370078740157483" bottom="0.39370078740157483" header="0" footer="0"/>
  <pageSetup paperSize="9" fitToWidth="0" fitToHeight="0" pageOrder="overThenDown" orientation="portrait" r:id="rId1"/>
  <headerFooter>
    <oddHeader>&amp;C&amp;A</oddHeader>
    <oddFooter>&amp;CPage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3AF2F-B895-4849-92DA-60D3A20865E3}">
  <sheetPr>
    <pageSetUpPr fitToPage="1"/>
  </sheetPr>
  <dimension ref="A1:J84"/>
  <sheetViews>
    <sheetView workbookViewId="0">
      <selection activeCell="I1" sqref="I1"/>
    </sheetView>
  </sheetViews>
  <sheetFormatPr baseColWidth="10" defaultRowHeight="15"/>
  <cols>
    <col min="1" max="1" width="63.28515625" customWidth="1"/>
    <col min="4" max="4" width="17.7109375" customWidth="1"/>
    <col min="6" max="6" width="20" customWidth="1"/>
    <col min="7" max="7" width="5.42578125" customWidth="1"/>
    <col min="9" max="9" width="12.5703125" customWidth="1"/>
  </cols>
  <sheetData>
    <row r="1" spans="1:10" ht="18.75">
      <c r="A1" s="601" t="s">
        <v>226</v>
      </c>
      <c r="B1" s="602"/>
      <c r="C1" s="602"/>
      <c r="D1" s="602"/>
      <c r="E1" s="602"/>
      <c r="F1" s="603"/>
    </row>
    <row r="2" spans="1:10" ht="15.75" thickBot="1">
      <c r="A2" s="604" t="s">
        <v>309</v>
      </c>
      <c r="B2" s="605"/>
      <c r="C2" s="605"/>
      <c r="D2" s="605"/>
      <c r="E2" s="605"/>
      <c r="F2" s="606"/>
    </row>
    <row r="3" spans="1:10" ht="15.75" thickBot="1">
      <c r="A3" s="416" t="s">
        <v>229</v>
      </c>
      <c r="B3" s="417"/>
      <c r="C3" s="417"/>
      <c r="D3" s="607" t="s">
        <v>28</v>
      </c>
      <c r="E3" s="607"/>
      <c r="F3" s="608"/>
    </row>
    <row r="4" spans="1:10">
      <c r="A4" s="418"/>
      <c r="B4" s="418"/>
      <c r="C4" s="419"/>
      <c r="D4" s="419"/>
      <c r="E4" s="419"/>
      <c r="F4" s="420"/>
    </row>
    <row r="5" spans="1:10">
      <c r="A5" s="421" t="s">
        <v>297</v>
      </c>
      <c r="B5" s="421" t="s">
        <v>297</v>
      </c>
      <c r="C5" s="422"/>
      <c r="D5" s="422"/>
      <c r="E5" s="423"/>
      <c r="F5" s="424"/>
    </row>
    <row r="6" spans="1:10">
      <c r="A6" s="421" t="s">
        <v>298</v>
      </c>
      <c r="B6" s="421" t="s">
        <v>36</v>
      </c>
      <c r="C6" s="422"/>
      <c r="D6" s="422"/>
      <c r="E6" s="423"/>
      <c r="F6" s="424"/>
    </row>
    <row r="7" spans="1:10">
      <c r="A7" s="421" t="s">
        <v>230</v>
      </c>
      <c r="B7" s="421" t="s">
        <v>40</v>
      </c>
      <c r="C7" s="422"/>
      <c r="D7" s="422"/>
      <c r="E7" s="422"/>
      <c r="F7" s="424"/>
    </row>
    <row r="8" spans="1:10">
      <c r="A8" s="421" t="s">
        <v>231</v>
      </c>
      <c r="B8" s="421" t="s">
        <v>44</v>
      </c>
      <c r="C8" s="422"/>
      <c r="D8" s="422"/>
      <c r="E8" s="422"/>
      <c r="F8" s="424"/>
    </row>
    <row r="9" spans="1:10">
      <c r="A9" s="421" t="s">
        <v>299</v>
      </c>
      <c r="B9" s="421" t="s">
        <v>50</v>
      </c>
      <c r="C9" s="422"/>
      <c r="D9" s="422"/>
      <c r="E9" s="422"/>
      <c r="F9" s="424"/>
    </row>
    <row r="10" spans="1:10">
      <c r="A10" s="421"/>
      <c r="B10" s="421" t="s">
        <v>233</v>
      </c>
      <c r="C10" s="422"/>
      <c r="D10" s="422"/>
      <c r="E10" s="422" t="s">
        <v>234</v>
      </c>
      <c r="F10" s="424"/>
    </row>
    <row r="11" spans="1:10">
      <c r="A11" s="421"/>
      <c r="B11" s="421" t="s">
        <v>300</v>
      </c>
      <c r="C11" s="422"/>
      <c r="D11" s="422"/>
      <c r="E11" s="422" t="s">
        <v>236</v>
      </c>
      <c r="F11" s="424"/>
    </row>
    <row r="12" spans="1:10">
      <c r="A12" s="421"/>
      <c r="B12" s="421" t="s">
        <v>51</v>
      </c>
      <c r="C12" s="422"/>
      <c r="D12" s="422"/>
      <c r="E12" s="422" t="s">
        <v>237</v>
      </c>
      <c r="F12" s="424"/>
    </row>
    <row r="13" spans="1:10" ht="15.75" thickBot="1">
      <c r="A13" s="421"/>
      <c r="B13" s="425" t="s">
        <v>53</v>
      </c>
      <c r="C13" s="426"/>
      <c r="D13" s="426"/>
      <c r="E13" s="426"/>
      <c r="F13" s="427"/>
    </row>
    <row r="14" spans="1:10" ht="15.75" thickBot="1">
      <c r="A14" s="428" t="s">
        <v>238</v>
      </c>
      <c r="B14" s="609"/>
      <c r="C14" s="610"/>
      <c r="D14" s="417" t="s">
        <v>301</v>
      </c>
      <c r="E14" s="609"/>
      <c r="F14" s="610"/>
    </row>
    <row r="15" spans="1:10">
      <c r="A15" s="429" t="s">
        <v>240</v>
      </c>
      <c r="B15" s="430"/>
      <c r="C15" s="430"/>
      <c r="D15" s="431" t="s">
        <v>241</v>
      </c>
      <c r="E15" s="431" t="s">
        <v>59</v>
      </c>
      <c r="F15" s="431" t="s">
        <v>73</v>
      </c>
    </row>
    <row r="16" spans="1:10" ht="15.75" thickBot="1">
      <c r="A16" s="432" t="s">
        <v>302</v>
      </c>
      <c r="B16" s="433"/>
      <c r="C16" s="434"/>
      <c r="D16" s="435"/>
      <c r="E16" s="436"/>
      <c r="F16" s="436">
        <f>D16*E16</f>
        <v>0</v>
      </c>
      <c r="H16" s="611" t="s">
        <v>303</v>
      </c>
      <c r="I16" s="612"/>
      <c r="J16" s="437">
        <f>D16*4.35</f>
        <v>0</v>
      </c>
    </row>
    <row r="17" spans="1:9">
      <c r="A17" s="432" t="s">
        <v>244</v>
      </c>
      <c r="B17" s="433"/>
      <c r="C17" s="434"/>
      <c r="D17" s="435"/>
      <c r="E17" s="436"/>
      <c r="F17" s="436">
        <f>-D17*E17</f>
        <v>0</v>
      </c>
    </row>
    <row r="18" spans="1:9">
      <c r="A18" s="432" t="s">
        <v>65</v>
      </c>
      <c r="B18" s="433"/>
      <c r="C18" s="434"/>
      <c r="D18" s="435"/>
      <c r="E18" s="436"/>
      <c r="F18" s="436">
        <f t="shared" ref="F18:F22" si="0">D18*E18</f>
        <v>0</v>
      </c>
    </row>
    <row r="19" spans="1:9">
      <c r="A19" s="432" t="s">
        <v>66</v>
      </c>
      <c r="B19" s="433"/>
      <c r="C19" s="434"/>
      <c r="D19" s="435"/>
      <c r="E19" s="436"/>
      <c r="F19" s="436">
        <f t="shared" si="0"/>
        <v>0</v>
      </c>
    </row>
    <row r="20" spans="1:9">
      <c r="A20" s="432"/>
      <c r="B20" s="433"/>
      <c r="C20" s="434"/>
      <c r="D20" s="435"/>
      <c r="E20" s="436"/>
      <c r="F20" s="436">
        <v>0</v>
      </c>
    </row>
    <row r="21" spans="1:9">
      <c r="A21" s="432"/>
      <c r="B21" s="433"/>
      <c r="C21" s="434"/>
      <c r="D21" s="435"/>
      <c r="E21" s="436"/>
      <c r="F21" s="436">
        <f t="shared" si="0"/>
        <v>0</v>
      </c>
    </row>
    <row r="22" spans="1:9">
      <c r="A22" s="432"/>
      <c r="B22" s="433"/>
      <c r="C22" s="434"/>
      <c r="D22" s="435"/>
      <c r="E22" s="436"/>
      <c r="F22" s="436">
        <f t="shared" si="0"/>
        <v>0</v>
      </c>
    </row>
    <row r="23" spans="1:9" ht="15.75" thickBot="1">
      <c r="A23" s="438" t="s">
        <v>304</v>
      </c>
      <c r="B23" s="591">
        <v>3864</v>
      </c>
      <c r="C23" s="592"/>
      <c r="D23" s="593" t="s">
        <v>249</v>
      </c>
      <c r="E23" s="594"/>
      <c r="F23" s="439">
        <f>SUM(F16:F22)</f>
        <v>0</v>
      </c>
    </row>
    <row r="24" spans="1:9">
      <c r="A24" s="595" t="s">
        <v>70</v>
      </c>
      <c r="B24" s="597" t="s">
        <v>58</v>
      </c>
      <c r="C24" s="599" t="s">
        <v>71</v>
      </c>
      <c r="D24" s="600"/>
      <c r="E24" s="599" t="s">
        <v>72</v>
      </c>
      <c r="F24" s="600"/>
      <c r="H24" s="581" t="s">
        <v>235</v>
      </c>
      <c r="I24" s="582"/>
    </row>
    <row r="25" spans="1:9" ht="15.75" thickBot="1">
      <c r="A25" s="596"/>
      <c r="B25" s="598"/>
      <c r="C25" s="431" t="s">
        <v>59</v>
      </c>
      <c r="D25" s="431" t="s">
        <v>73</v>
      </c>
      <c r="E25" s="431" t="s">
        <v>59</v>
      </c>
      <c r="F25" s="431" t="s">
        <v>73</v>
      </c>
      <c r="H25" s="440" t="s">
        <v>0</v>
      </c>
      <c r="I25" s="437"/>
    </row>
    <row r="26" spans="1:9">
      <c r="A26" s="441" t="s">
        <v>74</v>
      </c>
      <c r="B26" s="442"/>
      <c r="C26" s="443"/>
      <c r="D26" s="444"/>
      <c r="E26" s="443"/>
      <c r="F26" s="445"/>
    </row>
    <row r="27" spans="1:9">
      <c r="A27" s="446" t="s">
        <v>75</v>
      </c>
      <c r="B27" s="435">
        <f>F23-J16</f>
        <v>0</v>
      </c>
      <c r="C27" s="447"/>
      <c r="D27" s="448"/>
      <c r="E27" s="449">
        <v>0.13</v>
      </c>
      <c r="F27" s="435">
        <f>B27*E27</f>
        <v>0</v>
      </c>
    </row>
    <row r="28" spans="1:9">
      <c r="A28" s="446"/>
      <c r="B28" s="435"/>
      <c r="C28" s="450"/>
      <c r="D28" s="436"/>
      <c r="E28" s="451"/>
      <c r="F28" s="452"/>
    </row>
    <row r="29" spans="1:9">
      <c r="A29" s="453" t="s">
        <v>80</v>
      </c>
      <c r="B29" s="454">
        <f>B27</f>
        <v>0</v>
      </c>
      <c r="C29" s="455"/>
      <c r="D29" s="456"/>
      <c r="E29" s="457"/>
      <c r="F29" s="452">
        <f>B29*E29</f>
        <v>0</v>
      </c>
    </row>
    <row r="30" spans="1:9">
      <c r="A30" s="446"/>
      <c r="B30" s="436"/>
      <c r="C30" s="450"/>
      <c r="D30" s="436"/>
      <c r="E30" s="451"/>
      <c r="F30" s="458"/>
    </row>
    <row r="31" spans="1:9">
      <c r="A31" s="453" t="s">
        <v>81</v>
      </c>
      <c r="B31" s="436"/>
      <c r="C31" s="450"/>
      <c r="D31" s="436"/>
      <c r="E31" s="451"/>
      <c r="F31" s="458"/>
    </row>
    <row r="32" spans="1:9">
      <c r="A32" s="446" t="s">
        <v>82</v>
      </c>
      <c r="B32" s="435">
        <f>B27</f>
        <v>0</v>
      </c>
      <c r="C32" s="451">
        <v>6.9000000000000006E-2</v>
      </c>
      <c r="D32" s="436">
        <f>B32*C32</f>
        <v>0</v>
      </c>
      <c r="E32" s="451">
        <v>8.5500000000000007E-2</v>
      </c>
      <c r="F32" s="435">
        <f>B32*E32</f>
        <v>0</v>
      </c>
    </row>
    <row r="33" spans="1:6">
      <c r="A33" s="446" t="s">
        <v>83</v>
      </c>
      <c r="B33" s="435">
        <f>B27</f>
        <v>0</v>
      </c>
      <c r="C33" s="451">
        <v>4.0000000000000001E-3</v>
      </c>
      <c r="D33" s="436">
        <f>B33*C33</f>
        <v>0</v>
      </c>
      <c r="E33" s="451">
        <v>2.0199999999999999E-2</v>
      </c>
      <c r="F33" s="435">
        <f>B33*E33</f>
        <v>0</v>
      </c>
    </row>
    <row r="34" spans="1:6">
      <c r="A34" s="446"/>
      <c r="B34" s="436"/>
      <c r="C34" s="450"/>
      <c r="D34" s="436"/>
      <c r="E34" s="459"/>
      <c r="F34" s="458"/>
    </row>
    <row r="35" spans="1:6">
      <c r="A35" s="453" t="s">
        <v>89</v>
      </c>
      <c r="B35" s="435"/>
      <c r="C35" s="450"/>
      <c r="D35" s="436"/>
      <c r="E35" s="451"/>
      <c r="F35" s="435">
        <f>B35*E35</f>
        <v>0</v>
      </c>
    </row>
    <row r="36" spans="1:6">
      <c r="A36" s="432" t="s">
        <v>305</v>
      </c>
      <c r="B36" s="452">
        <f>B27</f>
        <v>0</v>
      </c>
      <c r="C36" s="460"/>
      <c r="D36" s="456"/>
      <c r="E36" s="461">
        <v>5.2499999999999998E-2</v>
      </c>
      <c r="F36" s="435">
        <f>B36*E36</f>
        <v>0</v>
      </c>
    </row>
    <row r="37" spans="1:6">
      <c r="A37" s="462"/>
      <c r="B37" s="452"/>
      <c r="C37" s="463"/>
      <c r="D37" s="436"/>
      <c r="E37" s="461"/>
      <c r="F37" s="435"/>
    </row>
    <row r="38" spans="1:6">
      <c r="A38" s="453" t="s">
        <v>97</v>
      </c>
      <c r="B38" s="435"/>
      <c r="C38" s="450"/>
      <c r="D38" s="436"/>
      <c r="E38" s="459"/>
      <c r="F38" s="464"/>
    </row>
    <row r="39" spans="1:6">
      <c r="A39" s="446" t="s">
        <v>98</v>
      </c>
      <c r="B39" s="435">
        <f>IF(I25&gt;=11,B27,0)</f>
        <v>0</v>
      </c>
      <c r="C39" s="455"/>
      <c r="D39" s="456"/>
      <c r="E39" s="457"/>
      <c r="F39" s="464">
        <f>B39*E39</f>
        <v>0</v>
      </c>
    </row>
    <row r="40" spans="1:6">
      <c r="A40" s="446" t="s">
        <v>99</v>
      </c>
      <c r="B40" s="454">
        <f>B27</f>
        <v>0</v>
      </c>
      <c r="C40" s="455"/>
      <c r="D40" s="456"/>
      <c r="E40" s="451" t="str">
        <f>IF(I25&gt;=50,0.0045,"0")</f>
        <v>0</v>
      </c>
      <c r="F40" s="464">
        <f t="shared" ref="F40:F45" si="1">B40*E40</f>
        <v>0</v>
      </c>
    </row>
    <row r="41" spans="1:6">
      <c r="A41" s="446" t="s">
        <v>100</v>
      </c>
      <c r="B41" s="454">
        <f>B27</f>
        <v>0</v>
      </c>
      <c r="C41" s="455"/>
      <c r="D41" s="456"/>
      <c r="E41" s="451">
        <v>6.7999999999999996E-3</v>
      </c>
      <c r="F41" s="464">
        <f t="shared" si="1"/>
        <v>0</v>
      </c>
    </row>
    <row r="42" spans="1:6">
      <c r="A42" s="446" t="s">
        <v>101</v>
      </c>
      <c r="B42" s="454">
        <f>B27</f>
        <v>0</v>
      </c>
      <c r="C42" s="455"/>
      <c r="D42" s="456"/>
      <c r="E42" s="451">
        <f>IF(I25&gt;=11,0.01,0.0055)</f>
        <v>5.4999999999999997E-3</v>
      </c>
      <c r="F42" s="464">
        <f t="shared" si="1"/>
        <v>0</v>
      </c>
    </row>
    <row r="43" spans="1:6">
      <c r="A43" s="446" t="s">
        <v>104</v>
      </c>
      <c r="B43" s="435">
        <f>IF(I25&lt;50,B27,0)</f>
        <v>0</v>
      </c>
      <c r="C43" s="455"/>
      <c r="D43" s="456"/>
      <c r="E43" s="451">
        <v>1E-3</v>
      </c>
      <c r="F43" s="464">
        <f t="shared" si="1"/>
        <v>0</v>
      </c>
    </row>
    <row r="44" spans="1:6">
      <c r="A44" s="446" t="s">
        <v>105</v>
      </c>
      <c r="B44" s="435">
        <f>IF(I25&gt;=50,B27,0)</f>
        <v>0</v>
      </c>
      <c r="C44" s="455"/>
      <c r="D44" s="456"/>
      <c r="E44" s="449">
        <v>5.0000000000000001E-3</v>
      </c>
      <c r="F44" s="464">
        <f t="shared" si="1"/>
        <v>0</v>
      </c>
    </row>
    <row r="45" spans="1:6">
      <c r="A45" s="446" t="s">
        <v>106</v>
      </c>
      <c r="B45" s="435">
        <f>B27</f>
        <v>0</v>
      </c>
      <c r="C45" s="455"/>
      <c r="D45" s="456"/>
      <c r="E45" s="451">
        <v>3.0000000000000001E-3</v>
      </c>
      <c r="F45" s="464">
        <f t="shared" si="1"/>
        <v>0</v>
      </c>
    </row>
    <row r="46" spans="1:6">
      <c r="A46" s="446"/>
      <c r="B46" s="436"/>
      <c r="C46" s="450"/>
      <c r="D46" s="436"/>
      <c r="E46" s="450"/>
      <c r="F46" s="464"/>
    </row>
    <row r="47" spans="1:6">
      <c r="A47" s="453" t="s">
        <v>109</v>
      </c>
      <c r="B47" s="436"/>
      <c r="C47" s="450"/>
      <c r="D47" s="436"/>
      <c r="E47" s="450"/>
      <c r="F47" s="464"/>
    </row>
    <row r="48" spans="1:6">
      <c r="A48" s="453"/>
      <c r="B48" s="436"/>
      <c r="C48" s="450"/>
      <c r="D48" s="436"/>
      <c r="E48" s="450"/>
      <c r="F48" s="464"/>
    </row>
    <row r="49" spans="1:6">
      <c r="A49" s="453" t="s">
        <v>111</v>
      </c>
      <c r="B49" s="454">
        <f>B27*0.9825</f>
        <v>0</v>
      </c>
      <c r="C49" s="451">
        <v>6.8000000000000005E-2</v>
      </c>
      <c r="D49" s="435">
        <f>B49*C49</f>
        <v>0</v>
      </c>
      <c r="E49" s="465"/>
      <c r="F49" s="466"/>
    </row>
    <row r="50" spans="1:6">
      <c r="A50" s="453" t="s">
        <v>112</v>
      </c>
      <c r="B50" s="454">
        <f>B49</f>
        <v>0</v>
      </c>
      <c r="C50" s="451">
        <v>2.9000000000000001E-2</v>
      </c>
      <c r="D50" s="436">
        <f>B50*C50</f>
        <v>0</v>
      </c>
      <c r="E50" s="465"/>
      <c r="F50" s="466"/>
    </row>
    <row r="51" spans="1:6">
      <c r="A51" s="453"/>
      <c r="B51" s="436"/>
      <c r="C51" s="450"/>
      <c r="D51" s="436"/>
      <c r="E51" s="450"/>
      <c r="F51" s="464"/>
    </row>
    <row r="52" spans="1:6">
      <c r="A52" s="467" t="s">
        <v>115</v>
      </c>
      <c r="B52" s="468"/>
      <c r="C52" s="469"/>
      <c r="D52" s="470">
        <f>SUM(D27:D51)</f>
        <v>0</v>
      </c>
      <c r="E52" s="471"/>
      <c r="F52" s="472">
        <f>SUM(F27:F51)</f>
        <v>0</v>
      </c>
    </row>
    <row r="53" spans="1:6">
      <c r="A53" s="446"/>
      <c r="B53" s="436"/>
      <c r="C53" s="450"/>
      <c r="D53" s="473"/>
      <c r="E53" s="450"/>
      <c r="F53" s="474"/>
    </row>
    <row r="54" spans="1:6">
      <c r="A54" s="446"/>
      <c r="B54" s="446"/>
      <c r="C54" s="446"/>
      <c r="D54" s="446"/>
      <c r="E54" s="446"/>
      <c r="F54" s="446"/>
    </row>
    <row r="55" spans="1:6">
      <c r="A55" s="475" t="s">
        <v>125</v>
      </c>
      <c r="B55" s="476"/>
      <c r="C55" s="476"/>
      <c r="D55" s="470">
        <f>F23-D52+D60</f>
        <v>0</v>
      </c>
      <c r="E55" s="476"/>
      <c r="F55" s="477"/>
    </row>
    <row r="56" spans="1:6">
      <c r="A56" s="432"/>
      <c r="B56" s="446"/>
      <c r="C56" s="446"/>
      <c r="D56" s="446"/>
      <c r="E56" s="446"/>
      <c r="F56" s="446"/>
    </row>
    <row r="57" spans="1:6">
      <c r="A57" s="583" t="s">
        <v>257</v>
      </c>
      <c r="B57" s="584"/>
      <c r="C57" s="584"/>
      <c r="D57" s="584"/>
      <c r="E57" s="584"/>
      <c r="F57" s="585"/>
    </row>
    <row r="58" spans="1:6">
      <c r="A58" s="478" t="s">
        <v>127</v>
      </c>
      <c r="B58" s="442"/>
      <c r="C58" s="442"/>
      <c r="D58" s="444">
        <f>B58*C58</f>
        <v>0</v>
      </c>
      <c r="E58" s="479"/>
      <c r="F58" s="480"/>
    </row>
    <row r="59" spans="1:6">
      <c r="A59" s="432" t="s">
        <v>128</v>
      </c>
      <c r="B59" s="481"/>
      <c r="C59" s="481"/>
      <c r="D59" s="436">
        <f t="shared" ref="D59:D60" si="2">B59*C59</f>
        <v>0</v>
      </c>
      <c r="E59" s="482"/>
      <c r="F59" s="483"/>
    </row>
    <row r="60" spans="1:6">
      <c r="A60" s="432" t="s">
        <v>129</v>
      </c>
      <c r="B60" s="481"/>
      <c r="C60" s="481"/>
      <c r="D60" s="436">
        <f t="shared" si="2"/>
        <v>0</v>
      </c>
      <c r="E60" s="482"/>
      <c r="F60" s="483"/>
    </row>
    <row r="61" spans="1:6">
      <c r="A61" s="432" t="s">
        <v>130</v>
      </c>
      <c r="B61" s="481"/>
      <c r="C61" s="481"/>
      <c r="D61" s="436">
        <f>-B61*C61</f>
        <v>0</v>
      </c>
      <c r="E61" s="482"/>
      <c r="F61" s="483"/>
    </row>
    <row r="62" spans="1:6">
      <c r="A62" s="432" t="s">
        <v>258</v>
      </c>
      <c r="B62" s="481"/>
      <c r="C62" s="481"/>
      <c r="D62" s="436">
        <f t="shared" ref="D62:D66" si="3">-B62*C62</f>
        <v>0</v>
      </c>
      <c r="E62" s="482"/>
      <c r="F62" s="483"/>
    </row>
    <row r="63" spans="1:6">
      <c r="A63" s="432" t="s">
        <v>132</v>
      </c>
      <c r="B63" s="481"/>
      <c r="C63" s="481"/>
      <c r="D63" s="436">
        <f t="shared" si="3"/>
        <v>0</v>
      </c>
      <c r="E63" s="482"/>
      <c r="F63" s="483"/>
    </row>
    <row r="64" spans="1:6">
      <c r="A64" s="432" t="s">
        <v>133</v>
      </c>
      <c r="B64" s="481"/>
      <c r="C64" s="481"/>
      <c r="D64" s="436">
        <f t="shared" si="3"/>
        <v>0</v>
      </c>
      <c r="E64" s="482"/>
      <c r="F64" s="483"/>
    </row>
    <row r="65" spans="1:6">
      <c r="A65" s="432" t="s">
        <v>134</v>
      </c>
      <c r="B65" s="481"/>
      <c r="C65" s="481"/>
      <c r="D65" s="436">
        <f t="shared" si="3"/>
        <v>0</v>
      </c>
      <c r="E65" s="482"/>
      <c r="F65" s="483"/>
    </row>
    <row r="66" spans="1:6">
      <c r="A66" s="432" t="s">
        <v>135</v>
      </c>
      <c r="B66" s="484"/>
      <c r="C66" s="484"/>
      <c r="D66" s="436">
        <f t="shared" si="3"/>
        <v>0</v>
      </c>
      <c r="E66" s="482"/>
      <c r="F66" s="483"/>
    </row>
    <row r="67" spans="1:6">
      <c r="A67" s="432"/>
      <c r="B67" s="485"/>
      <c r="C67" s="485"/>
      <c r="D67" s="486"/>
      <c r="E67" s="487"/>
      <c r="F67" s="488"/>
    </row>
    <row r="68" spans="1:6">
      <c r="A68" s="489" t="s">
        <v>137</v>
      </c>
      <c r="B68" s="490"/>
      <c r="C68" s="490"/>
      <c r="D68" s="470">
        <f>F23-D52+SUM(D58:D66)</f>
        <v>0</v>
      </c>
      <c r="E68" s="490"/>
      <c r="F68" s="491"/>
    </row>
    <row r="69" spans="1:6">
      <c r="A69" s="432"/>
      <c r="F69" s="492"/>
    </row>
    <row r="70" spans="1:6">
      <c r="A70" s="489" t="s">
        <v>138</v>
      </c>
      <c r="B70" s="493" t="s">
        <v>58</v>
      </c>
      <c r="C70" s="493" t="s">
        <v>59</v>
      </c>
      <c r="D70" s="493" t="s">
        <v>73</v>
      </c>
      <c r="E70" s="586" t="s">
        <v>139</v>
      </c>
      <c r="F70" s="587"/>
    </row>
    <row r="71" spans="1:6">
      <c r="A71" s="487" t="s">
        <v>140</v>
      </c>
      <c r="B71" s="494"/>
      <c r="C71" s="495"/>
      <c r="D71" s="470">
        <f>F23-F18-F19-D52+D50</f>
        <v>0</v>
      </c>
      <c r="E71" s="588"/>
      <c r="F71" s="589"/>
    </row>
    <row r="72" spans="1:6">
      <c r="A72" s="489" t="s">
        <v>142</v>
      </c>
      <c r="B72" s="493" t="s">
        <v>58</v>
      </c>
      <c r="C72" s="493" t="s">
        <v>59</v>
      </c>
      <c r="D72" s="493" t="s">
        <v>73</v>
      </c>
      <c r="E72" s="586" t="s">
        <v>139</v>
      </c>
      <c r="F72" s="587"/>
    </row>
    <row r="73" spans="1:6">
      <c r="A73" s="496" t="s">
        <v>143</v>
      </c>
      <c r="B73" s="470">
        <f>+D71</f>
        <v>0</v>
      </c>
      <c r="C73" s="497">
        <v>0</v>
      </c>
      <c r="D73" s="470">
        <f>B73*C73</f>
        <v>0</v>
      </c>
      <c r="E73" s="590"/>
      <c r="F73" s="590"/>
    </row>
    <row r="74" spans="1:6">
      <c r="A74" s="432"/>
      <c r="F74" s="492"/>
    </row>
    <row r="75" spans="1:6">
      <c r="A75" s="489" t="s">
        <v>144</v>
      </c>
      <c r="B75" s="498"/>
      <c r="C75" s="498"/>
      <c r="D75" s="499">
        <f>+D68-D73</f>
        <v>0</v>
      </c>
      <c r="E75" s="421"/>
      <c r="F75" s="424"/>
    </row>
    <row r="76" spans="1:6">
      <c r="A76" s="432"/>
      <c r="F76" s="492"/>
    </row>
    <row r="77" spans="1:6">
      <c r="A77" s="489" t="s">
        <v>145</v>
      </c>
      <c r="B77" s="500"/>
      <c r="C77" s="500"/>
      <c r="D77" s="500"/>
      <c r="E77" s="500"/>
      <c r="F77" s="470">
        <f>+F23+F52</f>
        <v>0</v>
      </c>
    </row>
    <row r="78" spans="1:6">
      <c r="A78" s="432"/>
      <c r="F78" s="492"/>
    </row>
    <row r="79" spans="1:6">
      <c r="A79" s="443" t="s">
        <v>259</v>
      </c>
      <c r="F79" s="492"/>
    </row>
    <row r="80" spans="1:6">
      <c r="A80" s="446" t="s">
        <v>306</v>
      </c>
      <c r="F80" s="492"/>
    </row>
    <row r="81" spans="1:6">
      <c r="A81" s="446" t="s">
        <v>261</v>
      </c>
      <c r="F81" s="492"/>
    </row>
    <row r="82" spans="1:6">
      <c r="A82" s="487" t="s">
        <v>262</v>
      </c>
      <c r="F82" s="492"/>
    </row>
    <row r="83" spans="1:6">
      <c r="A83" s="432"/>
      <c r="F83" s="492"/>
    </row>
    <row r="84" spans="1:6">
      <c r="A84" s="578" t="s">
        <v>263</v>
      </c>
      <c r="B84" s="579"/>
      <c r="C84" s="579"/>
      <c r="D84" s="579"/>
      <c r="E84" s="579"/>
      <c r="F84" s="580"/>
    </row>
  </sheetData>
  <mergeCells count="19">
    <mergeCell ref="H16:I16"/>
    <mergeCell ref="A1:F1"/>
    <mergeCell ref="A2:F2"/>
    <mergeCell ref="D3:F3"/>
    <mergeCell ref="B14:C14"/>
    <mergeCell ref="E14:F14"/>
    <mergeCell ref="B23:C23"/>
    <mergeCell ref="D23:E23"/>
    <mergeCell ref="A24:A25"/>
    <mergeCell ref="B24:B25"/>
    <mergeCell ref="C24:D24"/>
    <mergeCell ref="E24:F24"/>
    <mergeCell ref="A84:F84"/>
    <mergeCell ref="H24:I24"/>
    <mergeCell ref="A57:F57"/>
    <mergeCell ref="E70:F70"/>
    <mergeCell ref="E71:F71"/>
    <mergeCell ref="E72:F72"/>
    <mergeCell ref="E73:F73"/>
  </mergeCells>
  <pageMargins left="0.23622047244094491" right="0.23622047244094491" top="0" bottom="0" header="0.31496062992125984" footer="0.31496062992125984"/>
  <pageSetup paperSize="9" scale="50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3</vt:i4>
      </vt:variant>
    </vt:vector>
  </HeadingPairs>
  <TitlesOfParts>
    <vt:vector size="11" baseType="lpstr">
      <vt:lpstr>Bulletin</vt:lpstr>
      <vt:lpstr>RGC</vt:lpstr>
      <vt:lpstr>Régul_AF</vt:lpstr>
      <vt:lpstr>Régul_maladie1</vt:lpstr>
      <vt:lpstr>Régul_Plafond_+_CET</vt:lpstr>
      <vt:lpstr>Bulletin gérant</vt:lpstr>
      <vt:lpstr>bulletin apprentis</vt:lpstr>
      <vt:lpstr>stagiaire</vt:lpstr>
      <vt:lpstr>Régul_AF!Zone_d_impression</vt:lpstr>
      <vt:lpstr>Régul_maladie1!Zone_d_impression</vt:lpstr>
      <vt:lpstr>stagiaire!Zone_d_impression</vt:lpstr>
    </vt:vector>
  </TitlesOfParts>
  <Company>AFPA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38010-81-11</dc:creator>
  <cp:lastModifiedBy>38010-81-11</cp:lastModifiedBy>
  <dcterms:created xsi:type="dcterms:W3CDTF">2024-07-22T07:14:32Z</dcterms:created>
  <dcterms:modified xsi:type="dcterms:W3CDTF">2024-09-05T13:40:09Z</dcterms:modified>
</cp:coreProperties>
</file>